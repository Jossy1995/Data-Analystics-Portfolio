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mc:AlternateContent xmlns:mc="http://schemas.openxmlformats.org/markup-compatibility/2006">
    <mc:Choice Requires="x15">
      <x15ac:absPath xmlns:x15ac="http://schemas.microsoft.com/office/spreadsheetml/2010/11/ac" url="C:\Users\TOSHIBA\Desktop\ZEN ANALYTICS -\"/>
    </mc:Choice>
  </mc:AlternateContent>
  <xr:revisionPtr revIDLastSave="0" documentId="13_ncr:1_{D4F2D2D8-DF33-4B00-B1FA-B2CB4A999E3D}" xr6:coauthVersionLast="47" xr6:coauthVersionMax="47" xr10:uidLastSave="{00000000-0000-0000-0000-000000000000}"/>
  <bookViews>
    <workbookView xWindow="-110" yWindow="-110" windowWidth="19420" windowHeight="10560" firstSheet="1" activeTab="4" xr2:uid="{00000000-000D-0000-FFFF-FFFF00000000}"/>
  </bookViews>
  <sheets>
    <sheet name="Shoe Sales" sheetId="1" r:id="rId1"/>
    <sheet name="Cleaned Data" sheetId="2" r:id="rId2"/>
    <sheet name="Pivot Analysis" sheetId="7" r:id="rId3"/>
    <sheet name="Insights" sheetId="5" r:id="rId4"/>
    <sheet name="Dashboard" sheetId="4" r:id="rId5"/>
    <sheet name="Business Recommendation" sheetId="6" r:id="rId6"/>
  </sheets>
  <definedNames>
    <definedName name="Slicer_Country">#N/A</definedName>
    <definedName name="Slicer_Product">#N/A</definedName>
  </definedNames>
  <calcPr calcId="18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S2" i="2" l="1"/>
  <c r="O2" i="2" l="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J2" i="2"/>
  <c r="J3" i="2"/>
  <c r="P3" i="2" s="1"/>
  <c r="J4" i="2"/>
  <c r="P4" i="2" s="1"/>
  <c r="J5" i="2"/>
  <c r="P5" i="2" s="1"/>
  <c r="J6" i="2"/>
  <c r="P6" i="2" s="1"/>
  <c r="J7" i="2"/>
  <c r="P7" i="2" s="1"/>
  <c r="J8" i="2"/>
  <c r="P8" i="2" s="1"/>
  <c r="J9" i="2"/>
  <c r="P9" i="2" s="1"/>
  <c r="J10" i="2"/>
  <c r="P10" i="2" s="1"/>
  <c r="J11" i="2"/>
  <c r="P11" i="2" s="1"/>
  <c r="J12" i="2"/>
  <c r="P12" i="2" s="1"/>
  <c r="J13" i="2"/>
  <c r="P13" i="2" s="1"/>
  <c r="J14" i="2"/>
  <c r="P14" i="2" s="1"/>
  <c r="J15" i="2"/>
  <c r="P15" i="2" s="1"/>
  <c r="J16" i="2"/>
  <c r="P16" i="2" s="1"/>
  <c r="J17" i="2"/>
  <c r="P17" i="2" s="1"/>
  <c r="J18" i="2"/>
  <c r="P18" i="2" s="1"/>
  <c r="J19" i="2"/>
  <c r="P19" i="2" s="1"/>
  <c r="J20" i="2"/>
  <c r="P20" i="2" s="1"/>
  <c r="J21" i="2"/>
  <c r="P21" i="2" s="1"/>
  <c r="J22" i="2"/>
  <c r="P22" i="2" s="1"/>
  <c r="J23" i="2"/>
  <c r="P23" i="2" s="1"/>
  <c r="J24" i="2"/>
  <c r="P24" i="2" s="1"/>
  <c r="J25" i="2"/>
  <c r="P25" i="2" s="1"/>
  <c r="J26" i="2"/>
  <c r="P26" i="2" s="1"/>
  <c r="J27" i="2"/>
  <c r="P27" i="2" s="1"/>
  <c r="J28" i="2"/>
  <c r="P28" i="2" s="1"/>
  <c r="J29" i="2"/>
  <c r="P29" i="2" s="1"/>
  <c r="J30" i="2"/>
  <c r="P30" i="2" s="1"/>
  <c r="J31" i="2"/>
  <c r="P31" i="2" s="1"/>
  <c r="J32" i="2"/>
  <c r="P32" i="2" s="1"/>
  <c r="J33" i="2"/>
  <c r="P33" i="2" s="1"/>
  <c r="J34" i="2"/>
  <c r="P34" i="2" s="1"/>
  <c r="J35" i="2"/>
  <c r="P35" i="2" s="1"/>
  <c r="J36" i="2"/>
  <c r="P36" i="2" s="1"/>
  <c r="J37" i="2"/>
  <c r="P37" i="2" s="1"/>
  <c r="J38" i="2"/>
  <c r="P38" i="2" s="1"/>
  <c r="J39" i="2"/>
  <c r="P39" i="2" s="1"/>
  <c r="J40" i="2"/>
  <c r="P40" i="2" s="1"/>
  <c r="J41" i="2"/>
  <c r="P41" i="2" s="1"/>
  <c r="J42" i="2"/>
  <c r="P42" i="2" s="1"/>
  <c r="J43" i="2"/>
  <c r="P43" i="2" s="1"/>
  <c r="J44" i="2"/>
  <c r="P44" i="2" s="1"/>
  <c r="J45" i="2"/>
  <c r="P45" i="2" s="1"/>
  <c r="J46" i="2"/>
  <c r="P46" i="2" s="1"/>
  <c r="J47" i="2"/>
  <c r="P47" i="2" s="1"/>
  <c r="J48" i="2"/>
  <c r="P48" i="2" s="1"/>
  <c r="J49" i="2"/>
  <c r="P49" i="2" s="1"/>
  <c r="J50" i="2"/>
  <c r="P50" i="2" s="1"/>
  <c r="J51" i="2"/>
  <c r="P51" i="2" s="1"/>
  <c r="J52" i="2"/>
  <c r="P52" i="2" s="1"/>
  <c r="J53" i="2"/>
  <c r="P53" i="2" s="1"/>
  <c r="J54" i="2"/>
  <c r="P54" i="2" s="1"/>
  <c r="J55" i="2"/>
  <c r="P55" i="2" s="1"/>
  <c r="J56" i="2"/>
  <c r="P56" i="2" s="1"/>
  <c r="J57" i="2"/>
  <c r="P57" i="2" s="1"/>
  <c r="J58" i="2"/>
  <c r="P58" i="2" s="1"/>
  <c r="J59" i="2"/>
  <c r="P59" i="2" s="1"/>
  <c r="J60" i="2"/>
  <c r="P60" i="2" s="1"/>
  <c r="J61" i="2"/>
  <c r="P61" i="2" s="1"/>
  <c r="J62" i="2"/>
  <c r="P62" i="2" s="1"/>
  <c r="J63" i="2"/>
  <c r="P63" i="2" s="1"/>
  <c r="J64" i="2"/>
  <c r="P64" i="2" s="1"/>
  <c r="J65" i="2"/>
  <c r="P65" i="2" s="1"/>
  <c r="J66" i="2"/>
  <c r="P66" i="2" s="1"/>
  <c r="J67" i="2"/>
  <c r="P67" i="2" s="1"/>
  <c r="J68" i="2"/>
  <c r="P68" i="2" s="1"/>
  <c r="J69" i="2"/>
  <c r="P69" i="2" s="1"/>
  <c r="J70" i="2"/>
  <c r="P70" i="2" s="1"/>
  <c r="J71" i="2"/>
  <c r="P71" i="2" s="1"/>
  <c r="J72" i="2"/>
  <c r="P72" i="2" s="1"/>
  <c r="J73" i="2"/>
  <c r="P73" i="2" s="1"/>
  <c r="J74" i="2"/>
  <c r="P74" i="2" s="1"/>
  <c r="J75" i="2"/>
  <c r="P75" i="2" s="1"/>
  <c r="J76" i="2"/>
  <c r="P76" i="2" s="1"/>
  <c r="J77" i="2"/>
  <c r="P77" i="2" s="1"/>
  <c r="J78" i="2"/>
  <c r="P78" i="2" s="1"/>
  <c r="J79" i="2"/>
  <c r="P79" i="2" s="1"/>
  <c r="J80" i="2"/>
  <c r="P80" i="2" s="1"/>
  <c r="J81" i="2"/>
  <c r="P81" i="2" s="1"/>
  <c r="J82" i="2"/>
  <c r="P82" i="2" s="1"/>
  <c r="J83" i="2"/>
  <c r="P83" i="2" s="1"/>
  <c r="J84" i="2"/>
  <c r="P84" i="2" s="1"/>
  <c r="J85" i="2"/>
  <c r="P85" i="2" s="1"/>
  <c r="J86" i="2"/>
  <c r="P86" i="2" s="1"/>
  <c r="J87" i="2"/>
  <c r="P87" i="2" s="1"/>
  <c r="J88" i="2"/>
  <c r="P88" i="2" s="1"/>
  <c r="J89" i="2"/>
  <c r="P89" i="2" s="1"/>
  <c r="J90" i="2"/>
  <c r="P90" i="2" s="1"/>
  <c r="J91" i="2"/>
  <c r="P91" i="2" s="1"/>
  <c r="J92" i="2"/>
  <c r="P92" i="2" s="1"/>
  <c r="J93" i="2"/>
  <c r="P93" i="2" s="1"/>
  <c r="J94" i="2"/>
  <c r="P94" i="2" s="1"/>
  <c r="J95" i="2"/>
  <c r="P95" i="2" s="1"/>
  <c r="J96" i="2"/>
  <c r="P96" i="2" s="1"/>
  <c r="J97" i="2"/>
  <c r="P97" i="2" s="1"/>
  <c r="J98" i="2"/>
  <c r="P98" i="2" s="1"/>
  <c r="J99" i="2"/>
  <c r="P99" i="2" s="1"/>
  <c r="J100" i="2"/>
  <c r="P100" i="2" s="1"/>
  <c r="J101" i="2"/>
  <c r="P101" i="2" s="1"/>
  <c r="J102" i="2"/>
  <c r="P102" i="2" s="1"/>
  <c r="J103" i="2"/>
  <c r="P103" i="2" s="1"/>
  <c r="J104" i="2"/>
  <c r="P104" i="2" s="1"/>
  <c r="J105" i="2"/>
  <c r="P105" i="2" s="1"/>
  <c r="J106" i="2"/>
  <c r="P106" i="2" s="1"/>
  <c r="J107" i="2"/>
  <c r="P107" i="2" s="1"/>
  <c r="J108" i="2"/>
  <c r="P108" i="2" s="1"/>
  <c r="J109" i="2"/>
  <c r="P109" i="2" s="1"/>
  <c r="J110" i="2"/>
  <c r="P110" i="2" s="1"/>
  <c r="J111" i="2"/>
  <c r="P111" i="2" s="1"/>
  <c r="J112" i="2"/>
  <c r="P112" i="2" s="1"/>
  <c r="J113" i="2"/>
  <c r="P113" i="2" s="1"/>
  <c r="J114" i="2"/>
  <c r="P114" i="2" s="1"/>
  <c r="J115" i="2"/>
  <c r="P115" i="2" s="1"/>
  <c r="J116" i="2"/>
  <c r="P116" i="2" s="1"/>
  <c r="J117" i="2"/>
  <c r="P117" i="2" s="1"/>
  <c r="J118" i="2"/>
  <c r="P118" i="2" s="1"/>
  <c r="J119" i="2"/>
  <c r="P119" i="2" s="1"/>
  <c r="J120" i="2"/>
  <c r="P120" i="2" s="1"/>
  <c r="J121" i="2"/>
  <c r="P121" i="2" s="1"/>
  <c r="J122" i="2"/>
  <c r="P122" i="2" s="1"/>
  <c r="J123" i="2"/>
  <c r="P123" i="2" s="1"/>
  <c r="J124" i="2"/>
  <c r="P124" i="2" s="1"/>
  <c r="J125" i="2"/>
  <c r="P125" i="2" s="1"/>
  <c r="J126" i="2"/>
  <c r="P126" i="2" s="1"/>
  <c r="J127" i="2"/>
  <c r="P127" i="2" s="1"/>
  <c r="J128" i="2"/>
  <c r="P128" i="2" s="1"/>
  <c r="J129" i="2"/>
  <c r="P129" i="2" s="1"/>
  <c r="J130" i="2"/>
  <c r="P130" i="2" s="1"/>
  <c r="J131" i="2"/>
  <c r="P131" i="2" s="1"/>
  <c r="J132" i="2"/>
  <c r="P132" i="2" s="1"/>
  <c r="J133" i="2"/>
  <c r="P133" i="2" s="1"/>
  <c r="J134" i="2"/>
  <c r="P134" i="2" s="1"/>
  <c r="J135" i="2"/>
  <c r="P135" i="2" s="1"/>
  <c r="J136" i="2"/>
  <c r="P136" i="2" s="1"/>
  <c r="J137" i="2"/>
  <c r="P137" i="2" s="1"/>
  <c r="J138" i="2"/>
  <c r="P138" i="2" s="1"/>
  <c r="J139" i="2"/>
  <c r="P139" i="2" s="1"/>
  <c r="J140" i="2"/>
  <c r="P140" i="2" s="1"/>
  <c r="J141" i="2"/>
  <c r="P141" i="2" s="1"/>
  <c r="J142" i="2"/>
  <c r="P142" i="2" s="1"/>
  <c r="J143" i="2"/>
  <c r="P143" i="2" s="1"/>
  <c r="J144" i="2"/>
  <c r="P144" i="2" s="1"/>
  <c r="J145" i="2"/>
  <c r="P145" i="2" s="1"/>
  <c r="J146" i="2"/>
  <c r="P146" i="2" s="1"/>
  <c r="J147" i="2"/>
  <c r="P147" i="2" s="1"/>
  <c r="J148" i="2"/>
  <c r="P148" i="2" s="1"/>
  <c r="J149" i="2"/>
  <c r="P149" i="2" s="1"/>
  <c r="J150" i="2"/>
  <c r="P150" i="2" s="1"/>
  <c r="J151" i="2"/>
  <c r="P151" i="2" s="1"/>
  <c r="J152" i="2"/>
  <c r="P152" i="2" s="1"/>
  <c r="J153" i="2"/>
  <c r="P153" i="2" s="1"/>
  <c r="J154" i="2"/>
  <c r="P154" i="2" s="1"/>
  <c r="J155" i="2"/>
  <c r="P155" i="2" s="1"/>
  <c r="J156" i="2"/>
  <c r="P156" i="2" s="1"/>
  <c r="J157" i="2"/>
  <c r="P157" i="2" s="1"/>
  <c r="J158" i="2"/>
  <c r="P158" i="2" s="1"/>
  <c r="J159" i="2"/>
  <c r="P159" i="2" s="1"/>
  <c r="J160" i="2"/>
  <c r="P160" i="2" s="1"/>
  <c r="J161" i="2"/>
  <c r="P161" i="2" s="1"/>
  <c r="J162" i="2"/>
  <c r="P162" i="2" s="1"/>
  <c r="J163" i="2"/>
  <c r="P163" i="2" s="1"/>
  <c r="J164" i="2"/>
  <c r="P164" i="2" s="1"/>
  <c r="J165" i="2"/>
  <c r="P165" i="2" s="1"/>
  <c r="J166" i="2"/>
  <c r="P166" i="2" s="1"/>
  <c r="J167" i="2"/>
  <c r="P167" i="2" s="1"/>
  <c r="J168" i="2"/>
  <c r="P168" i="2" s="1"/>
  <c r="J169" i="2"/>
  <c r="P169" i="2" s="1"/>
  <c r="J170" i="2"/>
  <c r="P170" i="2" s="1"/>
  <c r="J171" i="2"/>
  <c r="P171" i="2" s="1"/>
  <c r="J172" i="2"/>
  <c r="P172" i="2" s="1"/>
  <c r="J173" i="2"/>
  <c r="P173" i="2" s="1"/>
  <c r="J174" i="2"/>
  <c r="P174" i="2" s="1"/>
  <c r="J175" i="2"/>
  <c r="P175" i="2" s="1"/>
  <c r="J176" i="2"/>
  <c r="P176" i="2" s="1"/>
  <c r="J177" i="2"/>
  <c r="P177" i="2" s="1"/>
  <c r="J178" i="2"/>
  <c r="P178" i="2" s="1"/>
  <c r="J179" i="2"/>
  <c r="P179" i="2" s="1"/>
  <c r="J180" i="2"/>
  <c r="P180" i="2" s="1"/>
  <c r="J181" i="2"/>
  <c r="P181" i="2" s="1"/>
  <c r="J182" i="2"/>
  <c r="P182" i="2" s="1"/>
  <c r="J183" i="2"/>
  <c r="P183" i="2" s="1"/>
  <c r="J184" i="2"/>
  <c r="P184" i="2" s="1"/>
  <c r="J185" i="2"/>
  <c r="P185" i="2" s="1"/>
  <c r="J186" i="2"/>
  <c r="P186" i="2" s="1"/>
  <c r="J187" i="2"/>
  <c r="P187" i="2" s="1"/>
  <c r="J188" i="2"/>
  <c r="P188" i="2" s="1"/>
  <c r="J189" i="2"/>
  <c r="P189" i="2" s="1"/>
  <c r="J190" i="2"/>
  <c r="P190" i="2" s="1"/>
  <c r="J191" i="2"/>
  <c r="P191" i="2" s="1"/>
  <c r="J192" i="2"/>
  <c r="P192" i="2" s="1"/>
  <c r="J193" i="2"/>
  <c r="P193" i="2" s="1"/>
  <c r="J194" i="2"/>
  <c r="P194" i="2" s="1"/>
  <c r="J195" i="2"/>
  <c r="P195" i="2" s="1"/>
  <c r="J196" i="2"/>
  <c r="P196" i="2" s="1"/>
  <c r="J197" i="2"/>
  <c r="P197" i="2" s="1"/>
  <c r="J198" i="2"/>
  <c r="P198" i="2" s="1"/>
  <c r="J199" i="2"/>
  <c r="P199" i="2" s="1"/>
  <c r="J200" i="2"/>
  <c r="P200" i="2" s="1"/>
  <c r="J201" i="2"/>
  <c r="P201" i="2" s="1"/>
  <c r="J202" i="2"/>
  <c r="P202" i="2" s="1"/>
  <c r="J203" i="2"/>
  <c r="P203" i="2" s="1"/>
  <c r="J204" i="2"/>
  <c r="P204" i="2" s="1"/>
  <c r="J205" i="2"/>
  <c r="P205" i="2" s="1"/>
  <c r="J206" i="2"/>
  <c r="P206" i="2" s="1"/>
  <c r="J207" i="2"/>
  <c r="P207" i="2" s="1"/>
  <c r="J208" i="2"/>
  <c r="P208" i="2" s="1"/>
  <c r="J209" i="2"/>
  <c r="P209" i="2" s="1"/>
  <c r="J210" i="2"/>
  <c r="P210" i="2" s="1"/>
  <c r="J211" i="2"/>
  <c r="P211" i="2" s="1"/>
  <c r="J212" i="2"/>
  <c r="P212" i="2" s="1"/>
  <c r="J213" i="2"/>
  <c r="P213" i="2" s="1"/>
  <c r="J214" i="2"/>
  <c r="P214" i="2" s="1"/>
  <c r="J215" i="2"/>
  <c r="P215" i="2" s="1"/>
  <c r="J216" i="2"/>
  <c r="P216" i="2" s="1"/>
  <c r="J217" i="2"/>
  <c r="P217" i="2" s="1"/>
  <c r="J218" i="2"/>
  <c r="P218" i="2" s="1"/>
  <c r="J219" i="2"/>
  <c r="P219" i="2" s="1"/>
  <c r="J220" i="2"/>
  <c r="P220" i="2" s="1"/>
  <c r="J221" i="2"/>
  <c r="P221" i="2" s="1"/>
  <c r="J222" i="2"/>
  <c r="P222" i="2" s="1"/>
  <c r="J223" i="2"/>
  <c r="P223" i="2" s="1"/>
  <c r="J224" i="2"/>
  <c r="P224" i="2" s="1"/>
  <c r="J225" i="2"/>
  <c r="P225" i="2" s="1"/>
  <c r="J226" i="2"/>
  <c r="P226" i="2" s="1"/>
  <c r="J227" i="2"/>
  <c r="P227" i="2" s="1"/>
  <c r="J228" i="2"/>
  <c r="P228" i="2" s="1"/>
  <c r="J229" i="2"/>
  <c r="P229" i="2" s="1"/>
  <c r="J230" i="2"/>
  <c r="P230" i="2" s="1"/>
  <c r="J231" i="2"/>
  <c r="P231" i="2" s="1"/>
  <c r="J232" i="2"/>
  <c r="P232" i="2" s="1"/>
  <c r="J233" i="2"/>
  <c r="P233" i="2" s="1"/>
  <c r="J234" i="2"/>
  <c r="P234" i="2" s="1"/>
  <c r="J235" i="2"/>
  <c r="P235" i="2" s="1"/>
  <c r="J236" i="2"/>
  <c r="P236" i="2" s="1"/>
  <c r="J237" i="2"/>
  <c r="P237" i="2" s="1"/>
  <c r="J238" i="2"/>
  <c r="P238" i="2" s="1"/>
  <c r="J239" i="2"/>
  <c r="P239" i="2" s="1"/>
  <c r="J240" i="2"/>
  <c r="P240" i="2" s="1"/>
  <c r="J241" i="2"/>
  <c r="P241" i="2" s="1"/>
  <c r="J242" i="2"/>
  <c r="P242" i="2" s="1"/>
  <c r="J243" i="2"/>
  <c r="P243" i="2" s="1"/>
  <c r="J244" i="2"/>
  <c r="P244" i="2" s="1"/>
  <c r="J245" i="2"/>
  <c r="P245" i="2" s="1"/>
  <c r="J246" i="2"/>
  <c r="P246" i="2" s="1"/>
  <c r="J247" i="2"/>
  <c r="P247" i="2" s="1"/>
  <c r="J248" i="2"/>
  <c r="P248" i="2" s="1"/>
  <c r="J249" i="2"/>
  <c r="P249" i="2" s="1"/>
  <c r="J250" i="2"/>
  <c r="P250" i="2" s="1"/>
  <c r="J251" i="2"/>
  <c r="P251" i="2" s="1"/>
  <c r="J252" i="2"/>
  <c r="P252" i="2" s="1"/>
  <c r="J253" i="2"/>
  <c r="P253" i="2" s="1"/>
  <c r="J254" i="2"/>
  <c r="P254" i="2" s="1"/>
  <c r="J255" i="2"/>
  <c r="P255" i="2" s="1"/>
  <c r="J256" i="2"/>
  <c r="P256" i="2" s="1"/>
  <c r="J257" i="2"/>
  <c r="P257" i="2" s="1"/>
  <c r="J258" i="2"/>
  <c r="P258" i="2" s="1"/>
  <c r="J259" i="2"/>
  <c r="P259" i="2" s="1"/>
  <c r="J260" i="2"/>
  <c r="P260" i="2" s="1"/>
  <c r="J261" i="2"/>
  <c r="P261" i="2" s="1"/>
  <c r="J262" i="2"/>
  <c r="P262" i="2" s="1"/>
  <c r="J263" i="2"/>
  <c r="P263" i="2" s="1"/>
  <c r="J264" i="2"/>
  <c r="P264" i="2" s="1"/>
  <c r="J265" i="2"/>
  <c r="P265" i="2" s="1"/>
  <c r="J266" i="2"/>
  <c r="P266" i="2" s="1"/>
  <c r="J267" i="2"/>
  <c r="P267" i="2" s="1"/>
  <c r="J268" i="2"/>
  <c r="P268" i="2" s="1"/>
  <c r="J269" i="2"/>
  <c r="P269" i="2" s="1"/>
  <c r="J270" i="2"/>
  <c r="P270" i="2" s="1"/>
  <c r="J271" i="2"/>
  <c r="P271" i="2" s="1"/>
  <c r="J272" i="2"/>
  <c r="P272" i="2" s="1"/>
  <c r="J273" i="2"/>
  <c r="P273" i="2" s="1"/>
  <c r="J274" i="2"/>
  <c r="P274" i="2" s="1"/>
  <c r="J275" i="2"/>
  <c r="P275" i="2" s="1"/>
  <c r="J276" i="2"/>
  <c r="P276" i="2" s="1"/>
  <c r="J277" i="2"/>
  <c r="P277" i="2" s="1"/>
  <c r="J278" i="2"/>
  <c r="P278" i="2" s="1"/>
  <c r="J279" i="2"/>
  <c r="P279" i="2" s="1"/>
  <c r="J280" i="2"/>
  <c r="P280" i="2" s="1"/>
  <c r="J281" i="2"/>
  <c r="P281" i="2" s="1"/>
  <c r="J282" i="2"/>
  <c r="P282" i="2" s="1"/>
  <c r="J283" i="2"/>
  <c r="P283" i="2" s="1"/>
  <c r="J284" i="2"/>
  <c r="P284" i="2" s="1"/>
  <c r="J285" i="2"/>
  <c r="P285" i="2" s="1"/>
  <c r="J286" i="2"/>
  <c r="P286" i="2" s="1"/>
  <c r="J287" i="2"/>
  <c r="P287" i="2" s="1"/>
  <c r="J288" i="2"/>
  <c r="P288" i="2" s="1"/>
  <c r="J289" i="2"/>
  <c r="P289" i="2" s="1"/>
  <c r="J290" i="2"/>
  <c r="P290" i="2" s="1"/>
  <c r="J291" i="2"/>
  <c r="P291" i="2" s="1"/>
  <c r="J292" i="2"/>
  <c r="P292" i="2" s="1"/>
  <c r="J293" i="2"/>
  <c r="P293" i="2" s="1"/>
  <c r="J294" i="2"/>
  <c r="P294" i="2" s="1"/>
  <c r="J295" i="2"/>
  <c r="P295" i="2" s="1"/>
  <c r="J296" i="2"/>
  <c r="P296" i="2" s="1"/>
  <c r="J297" i="2"/>
  <c r="P297" i="2" s="1"/>
  <c r="J298" i="2"/>
  <c r="P298" i="2" s="1"/>
  <c r="J299" i="2"/>
  <c r="P299" i="2" s="1"/>
  <c r="J300" i="2"/>
  <c r="P300" i="2" s="1"/>
  <c r="J301" i="2"/>
  <c r="P301" i="2" s="1"/>
  <c r="J302" i="2"/>
  <c r="P302" i="2" s="1"/>
  <c r="J303" i="2"/>
  <c r="P303" i="2" s="1"/>
  <c r="J304" i="2"/>
  <c r="P304" i="2" s="1"/>
  <c r="J305" i="2"/>
  <c r="P305" i="2" s="1"/>
  <c r="J306" i="2"/>
  <c r="P306" i="2" s="1"/>
  <c r="J307" i="2"/>
  <c r="P307" i="2" s="1"/>
  <c r="J308" i="2"/>
  <c r="P308" i="2" s="1"/>
  <c r="J309" i="2"/>
  <c r="P309" i="2" s="1"/>
  <c r="J310" i="2"/>
  <c r="P310" i="2" s="1"/>
  <c r="J311" i="2"/>
  <c r="P311" i="2" s="1"/>
  <c r="J312" i="2"/>
  <c r="P312" i="2" s="1"/>
  <c r="J313" i="2"/>
  <c r="P313" i="2" s="1"/>
  <c r="J314" i="2"/>
  <c r="P314" i="2" s="1"/>
  <c r="J315" i="2"/>
  <c r="P315" i="2" s="1"/>
  <c r="J316" i="2"/>
  <c r="P316" i="2" s="1"/>
  <c r="J317" i="2"/>
  <c r="P317" i="2" s="1"/>
  <c r="J318" i="2"/>
  <c r="P318" i="2" s="1"/>
  <c r="J319" i="2"/>
  <c r="P319" i="2" s="1"/>
  <c r="J320" i="2"/>
  <c r="P320" i="2" s="1"/>
  <c r="J321" i="2"/>
  <c r="P321" i="2" s="1"/>
  <c r="J322" i="2"/>
  <c r="P322" i="2" s="1"/>
  <c r="J323" i="2"/>
  <c r="P323" i="2" s="1"/>
  <c r="J324" i="2"/>
  <c r="P324" i="2" s="1"/>
  <c r="J325" i="2"/>
  <c r="P325" i="2" s="1"/>
  <c r="J326" i="2"/>
  <c r="P326" i="2" s="1"/>
  <c r="J327" i="2"/>
  <c r="P327" i="2" s="1"/>
  <c r="J328" i="2"/>
  <c r="P328" i="2" s="1"/>
  <c r="J329" i="2"/>
  <c r="P329" i="2" s="1"/>
  <c r="J330" i="2"/>
  <c r="P330" i="2" s="1"/>
  <c r="J331" i="2"/>
  <c r="P331" i="2" s="1"/>
  <c r="J332" i="2"/>
  <c r="P332" i="2" s="1"/>
  <c r="J333" i="2"/>
  <c r="P333" i="2" s="1"/>
  <c r="J334" i="2"/>
  <c r="P334" i="2" s="1"/>
  <c r="J335" i="2"/>
  <c r="P335" i="2" s="1"/>
  <c r="J336" i="2"/>
  <c r="P336" i="2" s="1"/>
  <c r="J337" i="2"/>
  <c r="P337" i="2" s="1"/>
  <c r="J338" i="2"/>
  <c r="P338" i="2" s="1"/>
  <c r="J339" i="2"/>
  <c r="P339" i="2" s="1"/>
  <c r="J340" i="2"/>
  <c r="P340" i="2" s="1"/>
  <c r="J341" i="2"/>
  <c r="P341" i="2" s="1"/>
  <c r="J342" i="2"/>
  <c r="P342" i="2" s="1"/>
  <c r="J343" i="2"/>
  <c r="P343" i="2" s="1"/>
  <c r="J344" i="2"/>
  <c r="P344" i="2" s="1"/>
  <c r="J345" i="2"/>
  <c r="P345" i="2" s="1"/>
  <c r="J346" i="2"/>
  <c r="P346" i="2" s="1"/>
  <c r="J347" i="2"/>
  <c r="P347" i="2" s="1"/>
  <c r="J348" i="2"/>
  <c r="P348" i="2" s="1"/>
  <c r="J349" i="2"/>
  <c r="P349" i="2" s="1"/>
  <c r="J350" i="2"/>
  <c r="P350" i="2" s="1"/>
  <c r="J351" i="2"/>
  <c r="P351" i="2" s="1"/>
  <c r="J352" i="2"/>
  <c r="P352" i="2" s="1"/>
  <c r="J353" i="2"/>
  <c r="P353" i="2" s="1"/>
  <c r="J354" i="2"/>
  <c r="P354" i="2" s="1"/>
  <c r="J355" i="2"/>
  <c r="P355" i="2" s="1"/>
  <c r="J356" i="2"/>
  <c r="P356" i="2" s="1"/>
  <c r="J357" i="2"/>
  <c r="P357" i="2" s="1"/>
  <c r="J358" i="2"/>
  <c r="P358" i="2" s="1"/>
  <c r="J359" i="2"/>
  <c r="P359" i="2" s="1"/>
  <c r="J360" i="2"/>
  <c r="P360" i="2" s="1"/>
  <c r="J361" i="2"/>
  <c r="P361" i="2" s="1"/>
  <c r="J362" i="2"/>
  <c r="P362" i="2" s="1"/>
  <c r="J363" i="2"/>
  <c r="P363" i="2" s="1"/>
  <c r="J364" i="2"/>
  <c r="P364" i="2" s="1"/>
  <c r="J365" i="2"/>
  <c r="P365" i="2" s="1"/>
  <c r="J366" i="2"/>
  <c r="P366" i="2" s="1"/>
  <c r="J367" i="2"/>
  <c r="P367" i="2" s="1"/>
  <c r="J368" i="2"/>
  <c r="P368" i="2" s="1"/>
  <c r="J369" i="2"/>
  <c r="P369" i="2" s="1"/>
  <c r="J370" i="2"/>
  <c r="P370" i="2" s="1"/>
  <c r="J371" i="2"/>
  <c r="P371" i="2" s="1"/>
  <c r="J372" i="2"/>
  <c r="P372" i="2" s="1"/>
  <c r="J373" i="2"/>
  <c r="P373" i="2" s="1"/>
  <c r="J374" i="2"/>
  <c r="P374" i="2" s="1"/>
  <c r="J375" i="2"/>
  <c r="P375" i="2" s="1"/>
  <c r="J376" i="2"/>
  <c r="P376" i="2" s="1"/>
  <c r="J377" i="2"/>
  <c r="P377" i="2" s="1"/>
  <c r="J378" i="2"/>
  <c r="P378" i="2" s="1"/>
  <c r="J379" i="2"/>
  <c r="P379" i="2" s="1"/>
  <c r="J380" i="2"/>
  <c r="P380" i="2" s="1"/>
  <c r="J381" i="2"/>
  <c r="P381" i="2" s="1"/>
  <c r="J382" i="2"/>
  <c r="P382" i="2" s="1"/>
  <c r="J383" i="2"/>
  <c r="P383" i="2" s="1"/>
  <c r="J384" i="2"/>
  <c r="P384" i="2" s="1"/>
  <c r="J385" i="2"/>
  <c r="P385" i="2" s="1"/>
  <c r="J386" i="2"/>
  <c r="P386" i="2" s="1"/>
  <c r="J387" i="2"/>
  <c r="P387" i="2" s="1"/>
  <c r="J388" i="2"/>
  <c r="P388" i="2" s="1"/>
  <c r="J389" i="2"/>
  <c r="P389" i="2" s="1"/>
  <c r="J390" i="2"/>
  <c r="P390" i="2" s="1"/>
  <c r="J391" i="2"/>
  <c r="P391" i="2" s="1"/>
  <c r="J392" i="2"/>
  <c r="P392" i="2" s="1"/>
  <c r="J393" i="2"/>
  <c r="P393" i="2" s="1"/>
  <c r="J394" i="2"/>
  <c r="P394" i="2" s="1"/>
  <c r="J395" i="2"/>
  <c r="P395" i="2" s="1"/>
  <c r="J396" i="2"/>
  <c r="P396" i="2" s="1"/>
  <c r="J397" i="2"/>
  <c r="P397" i="2" s="1"/>
  <c r="J398" i="2"/>
  <c r="P398" i="2" s="1"/>
  <c r="J399" i="2"/>
  <c r="P399" i="2" s="1"/>
  <c r="J400" i="2"/>
  <c r="P400" i="2" s="1"/>
  <c r="J401" i="2"/>
  <c r="P401" i="2" s="1"/>
  <c r="J402" i="2"/>
  <c r="P402" i="2" s="1"/>
  <c r="J403" i="2"/>
  <c r="P403" i="2" s="1"/>
  <c r="J404" i="2"/>
  <c r="P404" i="2" s="1"/>
  <c r="J405" i="2"/>
  <c r="P405" i="2" s="1"/>
  <c r="J406" i="2"/>
  <c r="P406" i="2" s="1"/>
  <c r="J407" i="2"/>
  <c r="P407" i="2" s="1"/>
  <c r="J408" i="2"/>
  <c r="P408" i="2" s="1"/>
  <c r="J409" i="2"/>
  <c r="P409" i="2" s="1"/>
  <c r="J410" i="2"/>
  <c r="P410" i="2" s="1"/>
  <c r="J411" i="2"/>
  <c r="P411" i="2" s="1"/>
  <c r="J412" i="2"/>
  <c r="P412" i="2" s="1"/>
  <c r="J413" i="2"/>
  <c r="P413" i="2" s="1"/>
  <c r="J414" i="2"/>
  <c r="P414" i="2" s="1"/>
  <c r="J415" i="2"/>
  <c r="P415" i="2" s="1"/>
  <c r="J416" i="2"/>
  <c r="P416" i="2" s="1"/>
  <c r="J417" i="2"/>
  <c r="P417" i="2" s="1"/>
  <c r="J418" i="2"/>
  <c r="P418" i="2" s="1"/>
  <c r="J419" i="2"/>
  <c r="P419" i="2" s="1"/>
  <c r="J420" i="2"/>
  <c r="P420" i="2" s="1"/>
  <c r="J421" i="2"/>
  <c r="P421" i="2" s="1"/>
  <c r="J422" i="2"/>
  <c r="P422" i="2" s="1"/>
  <c r="J423" i="2"/>
  <c r="P423" i="2" s="1"/>
  <c r="J424" i="2"/>
  <c r="P424" i="2" s="1"/>
  <c r="J425" i="2"/>
  <c r="P425" i="2" s="1"/>
  <c r="J426" i="2"/>
  <c r="P426" i="2" s="1"/>
  <c r="J427" i="2"/>
  <c r="P427" i="2" s="1"/>
  <c r="J428" i="2"/>
  <c r="P428" i="2" s="1"/>
  <c r="J429" i="2"/>
  <c r="P429" i="2" s="1"/>
  <c r="J430" i="2"/>
  <c r="P430" i="2" s="1"/>
  <c r="J431" i="2"/>
  <c r="P431" i="2" s="1"/>
  <c r="J432" i="2"/>
  <c r="P432" i="2" s="1"/>
  <c r="J433" i="2"/>
  <c r="P433" i="2" s="1"/>
  <c r="J434" i="2"/>
  <c r="P434" i="2" s="1"/>
  <c r="J435" i="2"/>
  <c r="P435" i="2" s="1"/>
  <c r="J436" i="2"/>
  <c r="P436" i="2" s="1"/>
  <c r="J437" i="2"/>
  <c r="P437" i="2" s="1"/>
  <c r="J438" i="2"/>
  <c r="P438" i="2" s="1"/>
  <c r="J439" i="2"/>
  <c r="P439" i="2" s="1"/>
  <c r="J440" i="2"/>
  <c r="P440" i="2" s="1"/>
  <c r="J441" i="2"/>
  <c r="P441" i="2" s="1"/>
  <c r="J442" i="2"/>
  <c r="P442" i="2" s="1"/>
  <c r="J443" i="2"/>
  <c r="P443" i="2" s="1"/>
  <c r="J444" i="2"/>
  <c r="P444" i="2" s="1"/>
  <c r="J445" i="2"/>
  <c r="P445" i="2" s="1"/>
  <c r="J446" i="2"/>
  <c r="P446" i="2" s="1"/>
  <c r="J447" i="2"/>
  <c r="P447" i="2" s="1"/>
  <c r="J448" i="2"/>
  <c r="P448" i="2" s="1"/>
  <c r="J449" i="2"/>
  <c r="P449" i="2" s="1"/>
  <c r="J450" i="2"/>
  <c r="P450" i="2" s="1"/>
  <c r="J451" i="2"/>
  <c r="P451" i="2" s="1"/>
  <c r="J452" i="2"/>
  <c r="P452" i="2" s="1"/>
  <c r="J453" i="2"/>
  <c r="P453" i="2" s="1"/>
  <c r="J454" i="2"/>
  <c r="P454" i="2" s="1"/>
  <c r="J455" i="2"/>
  <c r="P455" i="2" s="1"/>
  <c r="J456" i="2"/>
  <c r="P456" i="2" s="1"/>
  <c r="J457" i="2"/>
  <c r="P457" i="2" s="1"/>
  <c r="J458" i="2"/>
  <c r="P458" i="2" s="1"/>
  <c r="J459" i="2"/>
  <c r="P459" i="2" s="1"/>
  <c r="J460" i="2"/>
  <c r="P460" i="2" s="1"/>
  <c r="J461" i="2"/>
  <c r="P461" i="2" s="1"/>
  <c r="J462" i="2"/>
  <c r="P462" i="2" s="1"/>
  <c r="J463" i="2"/>
  <c r="P463" i="2" s="1"/>
  <c r="J464" i="2"/>
  <c r="P464" i="2" s="1"/>
  <c r="J465" i="2"/>
  <c r="P465" i="2" s="1"/>
  <c r="J466" i="2"/>
  <c r="P466" i="2" s="1"/>
  <c r="J467" i="2"/>
  <c r="P467" i="2" s="1"/>
  <c r="J468" i="2"/>
  <c r="P468" i="2" s="1"/>
  <c r="J469" i="2"/>
  <c r="P469" i="2" s="1"/>
  <c r="J470" i="2"/>
  <c r="P470" i="2" s="1"/>
  <c r="J471" i="2"/>
  <c r="P471" i="2" s="1"/>
  <c r="J472" i="2"/>
  <c r="P472" i="2" s="1"/>
  <c r="J473" i="2"/>
  <c r="P473" i="2" s="1"/>
  <c r="J474" i="2"/>
  <c r="P474" i="2" s="1"/>
  <c r="J475" i="2"/>
  <c r="P475" i="2" s="1"/>
  <c r="J476" i="2"/>
  <c r="P476" i="2" s="1"/>
  <c r="P2" i="2" l="1"/>
  <c r="L471" i="2"/>
  <c r="M471" i="2" s="1"/>
  <c r="L459" i="2"/>
  <c r="M459" i="2" s="1"/>
  <c r="L443" i="2"/>
  <c r="M443" i="2" s="1"/>
  <c r="L427" i="2"/>
  <c r="M427" i="2" s="1"/>
  <c r="L415" i="2"/>
  <c r="M415" i="2" s="1"/>
  <c r="L399" i="2"/>
  <c r="M399" i="2" s="1"/>
  <c r="L383" i="2"/>
  <c r="M383" i="2" s="1"/>
  <c r="L371" i="2"/>
  <c r="M371" i="2" s="1"/>
  <c r="L359" i="2"/>
  <c r="M359" i="2" s="1"/>
  <c r="L347" i="2"/>
  <c r="M347" i="2" s="1"/>
  <c r="L335" i="2"/>
  <c r="M335" i="2" s="1"/>
  <c r="L323" i="2"/>
  <c r="M323" i="2" s="1"/>
  <c r="L307" i="2"/>
  <c r="M307" i="2" s="1"/>
  <c r="L295" i="2"/>
  <c r="M295" i="2" s="1"/>
  <c r="L279" i="2"/>
  <c r="M279" i="2" s="1"/>
  <c r="L263" i="2"/>
  <c r="M263" i="2" s="1"/>
  <c r="L251" i="2"/>
  <c r="M251" i="2" s="1"/>
  <c r="L239" i="2"/>
  <c r="M239" i="2" s="1"/>
  <c r="L227" i="2"/>
  <c r="M227" i="2" s="1"/>
  <c r="L215" i="2"/>
  <c r="M215" i="2" s="1"/>
  <c r="L203" i="2"/>
  <c r="M203" i="2" s="1"/>
  <c r="L191" i="2"/>
  <c r="M191" i="2" s="1"/>
  <c r="L179" i="2"/>
  <c r="M179" i="2" s="1"/>
  <c r="L167" i="2"/>
  <c r="M167" i="2" s="1"/>
  <c r="L155" i="2"/>
  <c r="M155" i="2" s="1"/>
  <c r="L139" i="2"/>
  <c r="M139" i="2" s="1"/>
  <c r="L123" i="2"/>
  <c r="M123" i="2" s="1"/>
  <c r="L111" i="2"/>
  <c r="M111" i="2" s="1"/>
  <c r="L99" i="2"/>
  <c r="M99" i="2" s="1"/>
  <c r="L87" i="2"/>
  <c r="M87" i="2" s="1"/>
  <c r="L75" i="2"/>
  <c r="M75" i="2" s="1"/>
  <c r="L63" i="2"/>
  <c r="M63" i="2" s="1"/>
  <c r="L51" i="2"/>
  <c r="M51" i="2" s="1"/>
  <c r="L47" i="2"/>
  <c r="M47" i="2" s="1"/>
  <c r="L39" i="2"/>
  <c r="M39" i="2" s="1"/>
  <c r="L35" i="2"/>
  <c r="M35" i="2" s="1"/>
  <c r="L27" i="2"/>
  <c r="M27" i="2" s="1"/>
  <c r="L19" i="2"/>
  <c r="M19" i="2" s="1"/>
  <c r="L7" i="2"/>
  <c r="M7" i="2" s="1"/>
  <c r="L475" i="2"/>
  <c r="M475" i="2" s="1"/>
  <c r="L467" i="2"/>
  <c r="M467" i="2" s="1"/>
  <c r="L451" i="2"/>
  <c r="M451" i="2" s="1"/>
  <c r="L439" i="2"/>
  <c r="M439" i="2" s="1"/>
  <c r="L431" i="2"/>
  <c r="M431" i="2" s="1"/>
  <c r="L419" i="2"/>
  <c r="M419" i="2" s="1"/>
  <c r="L407" i="2"/>
  <c r="M407" i="2" s="1"/>
  <c r="L395" i="2"/>
  <c r="M395" i="2" s="1"/>
  <c r="L387" i="2"/>
  <c r="M387" i="2" s="1"/>
  <c r="L375" i="2"/>
  <c r="M375" i="2" s="1"/>
  <c r="L363" i="2"/>
  <c r="M363" i="2" s="1"/>
  <c r="L355" i="2"/>
  <c r="M355" i="2" s="1"/>
  <c r="L339" i="2"/>
  <c r="M339" i="2" s="1"/>
  <c r="L331" i="2"/>
  <c r="M331" i="2" s="1"/>
  <c r="L319" i="2"/>
  <c r="M319" i="2" s="1"/>
  <c r="L311" i="2"/>
  <c r="M311" i="2" s="1"/>
  <c r="L299" i="2"/>
  <c r="M299" i="2" s="1"/>
  <c r="L287" i="2"/>
  <c r="M287" i="2" s="1"/>
  <c r="L275" i="2"/>
  <c r="M275" i="2" s="1"/>
  <c r="L267" i="2"/>
  <c r="M267" i="2" s="1"/>
  <c r="L259" i="2"/>
  <c r="M259" i="2" s="1"/>
  <c r="L247" i="2"/>
  <c r="M247" i="2" s="1"/>
  <c r="L231" i="2"/>
  <c r="M231" i="2" s="1"/>
  <c r="L219" i="2"/>
  <c r="M219" i="2" s="1"/>
  <c r="L211" i="2"/>
  <c r="M211" i="2" s="1"/>
  <c r="L199" i="2"/>
  <c r="M199" i="2" s="1"/>
  <c r="L187" i="2"/>
  <c r="M187" i="2" s="1"/>
  <c r="L175" i="2"/>
  <c r="M175" i="2" s="1"/>
  <c r="L163" i="2"/>
  <c r="M163" i="2" s="1"/>
  <c r="L151" i="2"/>
  <c r="M151" i="2" s="1"/>
  <c r="L143" i="2"/>
  <c r="M143" i="2" s="1"/>
  <c r="L131" i="2"/>
  <c r="M131" i="2" s="1"/>
  <c r="L119" i="2"/>
  <c r="M119" i="2" s="1"/>
  <c r="L107" i="2"/>
  <c r="M107" i="2" s="1"/>
  <c r="L95" i="2"/>
  <c r="M95" i="2" s="1"/>
  <c r="L83" i="2"/>
  <c r="M83" i="2" s="1"/>
  <c r="L67" i="2"/>
  <c r="M67" i="2" s="1"/>
  <c r="L55" i="2"/>
  <c r="M55" i="2" s="1"/>
  <c r="L11" i="2"/>
  <c r="M11" i="2" s="1"/>
  <c r="L463" i="2"/>
  <c r="M463" i="2" s="1"/>
  <c r="L455" i="2"/>
  <c r="M455" i="2" s="1"/>
  <c r="L447" i="2"/>
  <c r="M447" i="2" s="1"/>
  <c r="L435" i="2"/>
  <c r="M435" i="2" s="1"/>
  <c r="L423" i="2"/>
  <c r="M423" i="2" s="1"/>
  <c r="L411" i="2"/>
  <c r="M411" i="2" s="1"/>
  <c r="L403" i="2"/>
  <c r="M403" i="2" s="1"/>
  <c r="L391" i="2"/>
  <c r="M391" i="2" s="1"/>
  <c r="L379" i="2"/>
  <c r="M379" i="2" s="1"/>
  <c r="L367" i="2"/>
  <c r="M367" i="2" s="1"/>
  <c r="L351" i="2"/>
  <c r="M351" i="2" s="1"/>
  <c r="L343" i="2"/>
  <c r="M343" i="2" s="1"/>
  <c r="L327" i="2"/>
  <c r="M327" i="2" s="1"/>
  <c r="L315" i="2"/>
  <c r="M315" i="2" s="1"/>
  <c r="L303" i="2"/>
  <c r="M303" i="2" s="1"/>
  <c r="L291" i="2"/>
  <c r="M291" i="2" s="1"/>
  <c r="L283" i="2"/>
  <c r="M283" i="2" s="1"/>
  <c r="L271" i="2"/>
  <c r="M271" i="2" s="1"/>
  <c r="L255" i="2"/>
  <c r="M255" i="2" s="1"/>
  <c r="L243" i="2"/>
  <c r="M243" i="2" s="1"/>
  <c r="L235" i="2"/>
  <c r="M235" i="2" s="1"/>
  <c r="L223" i="2"/>
  <c r="M223" i="2" s="1"/>
  <c r="L207" i="2"/>
  <c r="M207" i="2" s="1"/>
  <c r="L195" i="2"/>
  <c r="M195" i="2" s="1"/>
  <c r="L183" i="2"/>
  <c r="M183" i="2" s="1"/>
  <c r="L171" i="2"/>
  <c r="M171" i="2" s="1"/>
  <c r="L159" i="2"/>
  <c r="M159" i="2" s="1"/>
  <c r="L147" i="2"/>
  <c r="M147" i="2" s="1"/>
  <c r="L135" i="2"/>
  <c r="M135" i="2" s="1"/>
  <c r="L127" i="2"/>
  <c r="M127" i="2" s="1"/>
  <c r="L115" i="2"/>
  <c r="M115" i="2" s="1"/>
  <c r="L103" i="2"/>
  <c r="M103" i="2" s="1"/>
  <c r="L91" i="2"/>
  <c r="M91" i="2" s="1"/>
  <c r="L79" i="2"/>
  <c r="M79" i="2" s="1"/>
  <c r="L71" i="2"/>
  <c r="M71" i="2" s="1"/>
  <c r="L59" i="2"/>
  <c r="M59" i="2" s="1"/>
  <c r="L43" i="2"/>
  <c r="M43" i="2" s="1"/>
  <c r="L31" i="2"/>
  <c r="M31" i="2" s="1"/>
  <c r="L23" i="2"/>
  <c r="M23" i="2" s="1"/>
  <c r="L15" i="2"/>
  <c r="M15" i="2" s="1"/>
  <c r="L3" i="2"/>
  <c r="M3" i="2" s="1"/>
  <c r="L476" i="2"/>
  <c r="M476" i="2" s="1"/>
  <c r="L472" i="2"/>
  <c r="M472" i="2" s="1"/>
  <c r="L468" i="2"/>
  <c r="M468" i="2" s="1"/>
  <c r="L464" i="2"/>
  <c r="M464" i="2" s="1"/>
  <c r="L460" i="2"/>
  <c r="M460" i="2" s="1"/>
  <c r="L456" i="2"/>
  <c r="M456" i="2" s="1"/>
  <c r="L452" i="2"/>
  <c r="M452" i="2" s="1"/>
  <c r="L448" i="2"/>
  <c r="M448" i="2" s="1"/>
  <c r="L444" i="2"/>
  <c r="M444" i="2" s="1"/>
  <c r="L440" i="2"/>
  <c r="M440" i="2" s="1"/>
  <c r="L436" i="2"/>
  <c r="M436" i="2" s="1"/>
  <c r="L432" i="2"/>
  <c r="M432" i="2" s="1"/>
  <c r="L428" i="2"/>
  <c r="M428" i="2" s="1"/>
  <c r="L424" i="2"/>
  <c r="M424" i="2" s="1"/>
  <c r="L420" i="2"/>
  <c r="M420" i="2" s="1"/>
  <c r="L416" i="2"/>
  <c r="M416" i="2" s="1"/>
  <c r="L412" i="2"/>
  <c r="M412" i="2" s="1"/>
  <c r="L408" i="2"/>
  <c r="M408" i="2" s="1"/>
  <c r="L404" i="2"/>
  <c r="M404" i="2" s="1"/>
  <c r="L400" i="2"/>
  <c r="M400" i="2" s="1"/>
  <c r="L396" i="2"/>
  <c r="M396" i="2" s="1"/>
  <c r="L392" i="2"/>
  <c r="M392" i="2" s="1"/>
  <c r="L388" i="2"/>
  <c r="M388" i="2" s="1"/>
  <c r="L384" i="2"/>
  <c r="M384" i="2" s="1"/>
  <c r="L380" i="2"/>
  <c r="M380" i="2" s="1"/>
  <c r="L376" i="2"/>
  <c r="M376" i="2" s="1"/>
  <c r="L372" i="2"/>
  <c r="M372" i="2" s="1"/>
  <c r="L368" i="2"/>
  <c r="M368" i="2" s="1"/>
  <c r="L364" i="2"/>
  <c r="M364" i="2" s="1"/>
  <c r="L360" i="2"/>
  <c r="M360" i="2" s="1"/>
  <c r="L356" i="2"/>
  <c r="M356" i="2" s="1"/>
  <c r="L352" i="2"/>
  <c r="M352" i="2" s="1"/>
  <c r="L348" i="2"/>
  <c r="M348" i="2" s="1"/>
  <c r="L344" i="2"/>
  <c r="M344" i="2" s="1"/>
  <c r="L340" i="2"/>
  <c r="M340" i="2" s="1"/>
  <c r="L336" i="2"/>
  <c r="M336" i="2" s="1"/>
  <c r="L332" i="2"/>
  <c r="M332" i="2" s="1"/>
  <c r="L328" i="2"/>
  <c r="M328" i="2" s="1"/>
  <c r="L324" i="2"/>
  <c r="M324" i="2" s="1"/>
  <c r="L320" i="2"/>
  <c r="M320" i="2" s="1"/>
  <c r="L316" i="2"/>
  <c r="M316" i="2" s="1"/>
  <c r="L312" i="2"/>
  <c r="M312" i="2" s="1"/>
  <c r="L308" i="2"/>
  <c r="M308" i="2" s="1"/>
  <c r="L304" i="2"/>
  <c r="M304" i="2" s="1"/>
  <c r="L300" i="2"/>
  <c r="M300" i="2" s="1"/>
  <c r="L296" i="2"/>
  <c r="M296" i="2" s="1"/>
  <c r="L292" i="2"/>
  <c r="M292" i="2" s="1"/>
  <c r="L288" i="2"/>
  <c r="M288" i="2" s="1"/>
  <c r="L284" i="2"/>
  <c r="M284" i="2" s="1"/>
  <c r="L280" i="2"/>
  <c r="M280" i="2" s="1"/>
  <c r="L276" i="2"/>
  <c r="M276" i="2" s="1"/>
  <c r="L272" i="2"/>
  <c r="M272" i="2" s="1"/>
  <c r="L268" i="2"/>
  <c r="M268" i="2" s="1"/>
  <c r="L264" i="2"/>
  <c r="M264" i="2" s="1"/>
  <c r="L260" i="2"/>
  <c r="M260" i="2" s="1"/>
  <c r="L256" i="2"/>
  <c r="M256" i="2" s="1"/>
  <c r="L252" i="2"/>
  <c r="M252" i="2" s="1"/>
  <c r="L248" i="2"/>
  <c r="M248" i="2" s="1"/>
  <c r="L244" i="2"/>
  <c r="M244" i="2" s="1"/>
  <c r="L240" i="2"/>
  <c r="M240" i="2" s="1"/>
  <c r="L236" i="2"/>
  <c r="M236" i="2" s="1"/>
  <c r="L232" i="2"/>
  <c r="M232" i="2" s="1"/>
  <c r="L228" i="2"/>
  <c r="M228" i="2" s="1"/>
  <c r="L224" i="2"/>
  <c r="M224" i="2" s="1"/>
  <c r="L220" i="2"/>
  <c r="M220" i="2" s="1"/>
  <c r="L216" i="2"/>
  <c r="M216" i="2" s="1"/>
  <c r="L212" i="2"/>
  <c r="M212" i="2" s="1"/>
  <c r="L208" i="2"/>
  <c r="M208" i="2" s="1"/>
  <c r="L204" i="2"/>
  <c r="M204" i="2" s="1"/>
  <c r="L200" i="2"/>
  <c r="M200" i="2" s="1"/>
  <c r="L196" i="2"/>
  <c r="M196" i="2" s="1"/>
  <c r="L192" i="2"/>
  <c r="M192" i="2" s="1"/>
  <c r="L188" i="2"/>
  <c r="M188" i="2" s="1"/>
  <c r="L184" i="2"/>
  <c r="M184" i="2" s="1"/>
  <c r="L180" i="2"/>
  <c r="M180" i="2" s="1"/>
  <c r="L176" i="2"/>
  <c r="M176" i="2" s="1"/>
  <c r="L172" i="2"/>
  <c r="M172" i="2" s="1"/>
  <c r="L168" i="2"/>
  <c r="M168" i="2" s="1"/>
  <c r="L164" i="2"/>
  <c r="M164" i="2" s="1"/>
  <c r="L160" i="2"/>
  <c r="M160" i="2" s="1"/>
  <c r="L156" i="2"/>
  <c r="M156" i="2" s="1"/>
  <c r="L152" i="2"/>
  <c r="M152" i="2" s="1"/>
  <c r="L148" i="2"/>
  <c r="M148" i="2" s="1"/>
  <c r="L144" i="2"/>
  <c r="M144" i="2" s="1"/>
  <c r="L140" i="2"/>
  <c r="M140" i="2" s="1"/>
  <c r="L136" i="2"/>
  <c r="M136" i="2" s="1"/>
  <c r="L132" i="2"/>
  <c r="M132" i="2" s="1"/>
  <c r="L128" i="2"/>
  <c r="M128" i="2" s="1"/>
  <c r="L124" i="2"/>
  <c r="M124" i="2" s="1"/>
  <c r="L120" i="2"/>
  <c r="M120" i="2" s="1"/>
  <c r="L116" i="2"/>
  <c r="M116" i="2" s="1"/>
  <c r="L112" i="2"/>
  <c r="M112" i="2" s="1"/>
  <c r="L108" i="2"/>
  <c r="M108" i="2" s="1"/>
  <c r="L104" i="2"/>
  <c r="M104" i="2" s="1"/>
  <c r="L100" i="2"/>
  <c r="M100" i="2" s="1"/>
  <c r="L96" i="2"/>
  <c r="M96" i="2" s="1"/>
  <c r="L92" i="2"/>
  <c r="M92" i="2" s="1"/>
  <c r="L88" i="2"/>
  <c r="M88" i="2" s="1"/>
  <c r="L84" i="2"/>
  <c r="M84" i="2" s="1"/>
  <c r="L80" i="2"/>
  <c r="M80" i="2" s="1"/>
  <c r="L76" i="2"/>
  <c r="M76" i="2" s="1"/>
  <c r="L72" i="2"/>
  <c r="M72" i="2" s="1"/>
  <c r="L68" i="2"/>
  <c r="M68" i="2" s="1"/>
  <c r="L64" i="2"/>
  <c r="M64" i="2" s="1"/>
  <c r="L60" i="2"/>
  <c r="M60" i="2" s="1"/>
  <c r="L56" i="2"/>
  <c r="M56" i="2" s="1"/>
  <c r="L52" i="2"/>
  <c r="M52" i="2" s="1"/>
  <c r="L48" i="2"/>
  <c r="M48" i="2" s="1"/>
  <c r="L44" i="2"/>
  <c r="M44" i="2" s="1"/>
  <c r="L40" i="2"/>
  <c r="M40" i="2" s="1"/>
  <c r="L36" i="2"/>
  <c r="M36" i="2" s="1"/>
  <c r="L32" i="2"/>
  <c r="M32" i="2" s="1"/>
  <c r="L28" i="2"/>
  <c r="M28" i="2" s="1"/>
  <c r="L24" i="2"/>
  <c r="M24" i="2" s="1"/>
  <c r="L20" i="2"/>
  <c r="M20" i="2" s="1"/>
  <c r="L16" i="2"/>
  <c r="M16" i="2" s="1"/>
  <c r="L12" i="2"/>
  <c r="M12" i="2" s="1"/>
  <c r="L8" i="2"/>
  <c r="M8" i="2" s="1"/>
  <c r="L4" i="2"/>
  <c r="M4" i="2" s="1"/>
  <c r="L474" i="2"/>
  <c r="M474" i="2" s="1"/>
  <c r="L466" i="2"/>
  <c r="M466" i="2" s="1"/>
  <c r="L458" i="2"/>
  <c r="M458" i="2" s="1"/>
  <c r="L450" i="2"/>
  <c r="M450" i="2" s="1"/>
  <c r="L442" i="2"/>
  <c r="M442" i="2" s="1"/>
  <c r="L434" i="2"/>
  <c r="M434" i="2" s="1"/>
  <c r="L426" i="2"/>
  <c r="M426" i="2" s="1"/>
  <c r="L414" i="2"/>
  <c r="M414" i="2" s="1"/>
  <c r="L406" i="2"/>
  <c r="M406" i="2" s="1"/>
  <c r="L398" i="2"/>
  <c r="M398" i="2" s="1"/>
  <c r="L390" i="2"/>
  <c r="M390" i="2" s="1"/>
  <c r="L382" i="2"/>
  <c r="M382" i="2" s="1"/>
  <c r="L374" i="2"/>
  <c r="M374" i="2" s="1"/>
  <c r="L366" i="2"/>
  <c r="M366" i="2" s="1"/>
  <c r="L358" i="2"/>
  <c r="M358" i="2" s="1"/>
  <c r="L350" i="2"/>
  <c r="M350" i="2" s="1"/>
  <c r="L342" i="2"/>
  <c r="M342" i="2" s="1"/>
  <c r="L334" i="2"/>
  <c r="M334" i="2" s="1"/>
  <c r="L326" i="2"/>
  <c r="M326" i="2" s="1"/>
  <c r="L318" i="2"/>
  <c r="M318" i="2" s="1"/>
  <c r="L310" i="2"/>
  <c r="M310" i="2" s="1"/>
  <c r="L302" i="2"/>
  <c r="M302" i="2" s="1"/>
  <c r="L294" i="2"/>
  <c r="M294" i="2" s="1"/>
  <c r="L286" i="2"/>
  <c r="M286" i="2" s="1"/>
  <c r="L278" i="2"/>
  <c r="M278" i="2" s="1"/>
  <c r="L270" i="2"/>
  <c r="M270" i="2" s="1"/>
  <c r="L262" i="2"/>
  <c r="M262" i="2" s="1"/>
  <c r="L254" i="2"/>
  <c r="M254" i="2" s="1"/>
  <c r="L246" i="2"/>
  <c r="M246" i="2" s="1"/>
  <c r="L238" i="2"/>
  <c r="M238" i="2" s="1"/>
  <c r="L230" i="2"/>
  <c r="M230" i="2" s="1"/>
  <c r="L218" i="2"/>
  <c r="M218" i="2" s="1"/>
  <c r="L210" i="2"/>
  <c r="M210" i="2" s="1"/>
  <c r="L202" i="2"/>
  <c r="M202" i="2" s="1"/>
  <c r="L194" i="2"/>
  <c r="M194" i="2" s="1"/>
  <c r="L186" i="2"/>
  <c r="M186" i="2" s="1"/>
  <c r="L178" i="2"/>
  <c r="M178" i="2" s="1"/>
  <c r="L170" i="2"/>
  <c r="M170" i="2" s="1"/>
  <c r="L162" i="2"/>
  <c r="M162" i="2" s="1"/>
  <c r="L154" i="2"/>
  <c r="M154" i="2" s="1"/>
  <c r="L146" i="2"/>
  <c r="M146" i="2" s="1"/>
  <c r="L138" i="2"/>
  <c r="M138" i="2" s="1"/>
  <c r="L130" i="2"/>
  <c r="M130" i="2" s="1"/>
  <c r="L122" i="2"/>
  <c r="M122" i="2" s="1"/>
  <c r="L114" i="2"/>
  <c r="M114" i="2" s="1"/>
  <c r="L106" i="2"/>
  <c r="M106" i="2" s="1"/>
  <c r="L94" i="2"/>
  <c r="M94" i="2" s="1"/>
  <c r="L86" i="2"/>
  <c r="M86" i="2" s="1"/>
  <c r="L78" i="2"/>
  <c r="M78" i="2" s="1"/>
  <c r="L70" i="2"/>
  <c r="M70" i="2" s="1"/>
  <c r="L62" i="2"/>
  <c r="M62" i="2" s="1"/>
  <c r="L54" i="2"/>
  <c r="M54" i="2" s="1"/>
  <c r="L46" i="2"/>
  <c r="M46" i="2" s="1"/>
  <c r="L38" i="2"/>
  <c r="M38" i="2" s="1"/>
  <c r="L30" i="2"/>
  <c r="M30" i="2" s="1"/>
  <c r="L22" i="2"/>
  <c r="M22" i="2" s="1"/>
  <c r="L14" i="2"/>
  <c r="M14" i="2" s="1"/>
  <c r="L6" i="2"/>
  <c r="M6" i="2" s="1"/>
  <c r="L470" i="2"/>
  <c r="M470" i="2" s="1"/>
  <c r="L462" i="2"/>
  <c r="M462" i="2" s="1"/>
  <c r="L454" i="2"/>
  <c r="M454" i="2" s="1"/>
  <c r="L446" i="2"/>
  <c r="M446" i="2" s="1"/>
  <c r="L438" i="2"/>
  <c r="M438" i="2" s="1"/>
  <c r="L430" i="2"/>
  <c r="M430" i="2" s="1"/>
  <c r="L422" i="2"/>
  <c r="M422" i="2" s="1"/>
  <c r="L418" i="2"/>
  <c r="M418" i="2" s="1"/>
  <c r="L410" i="2"/>
  <c r="M410" i="2" s="1"/>
  <c r="L402" i="2"/>
  <c r="M402" i="2" s="1"/>
  <c r="L394" i="2"/>
  <c r="M394" i="2" s="1"/>
  <c r="L386" i="2"/>
  <c r="M386" i="2" s="1"/>
  <c r="L378" i="2"/>
  <c r="M378" i="2" s="1"/>
  <c r="L370" i="2"/>
  <c r="M370" i="2" s="1"/>
  <c r="L362" i="2"/>
  <c r="M362" i="2" s="1"/>
  <c r="L354" i="2"/>
  <c r="M354" i="2" s="1"/>
  <c r="L346" i="2"/>
  <c r="M346" i="2" s="1"/>
  <c r="L338" i="2"/>
  <c r="M338" i="2" s="1"/>
  <c r="L330" i="2"/>
  <c r="M330" i="2" s="1"/>
  <c r="L322" i="2"/>
  <c r="M322" i="2" s="1"/>
  <c r="L314" i="2"/>
  <c r="M314" i="2" s="1"/>
  <c r="L306" i="2"/>
  <c r="M306" i="2" s="1"/>
  <c r="L298" i="2"/>
  <c r="M298" i="2" s="1"/>
  <c r="L290" i="2"/>
  <c r="M290" i="2" s="1"/>
  <c r="L282" i="2"/>
  <c r="M282" i="2" s="1"/>
  <c r="L274" i="2"/>
  <c r="M274" i="2" s="1"/>
  <c r="L266" i="2"/>
  <c r="M266" i="2" s="1"/>
  <c r="L258" i="2"/>
  <c r="M258" i="2" s="1"/>
  <c r="L250" i="2"/>
  <c r="M250" i="2" s="1"/>
  <c r="L242" i="2"/>
  <c r="M242" i="2" s="1"/>
  <c r="L234" i="2"/>
  <c r="M234" i="2" s="1"/>
  <c r="L226" i="2"/>
  <c r="M226" i="2" s="1"/>
  <c r="L222" i="2"/>
  <c r="M222" i="2" s="1"/>
  <c r="L214" i="2"/>
  <c r="M214" i="2" s="1"/>
  <c r="L206" i="2"/>
  <c r="M206" i="2" s="1"/>
  <c r="L198" i="2"/>
  <c r="M198" i="2" s="1"/>
  <c r="L190" i="2"/>
  <c r="M190" i="2" s="1"/>
  <c r="L182" i="2"/>
  <c r="M182" i="2" s="1"/>
  <c r="L174" i="2"/>
  <c r="M174" i="2" s="1"/>
  <c r="L166" i="2"/>
  <c r="M166" i="2" s="1"/>
  <c r="L158" i="2"/>
  <c r="M158" i="2" s="1"/>
  <c r="L150" i="2"/>
  <c r="M150" i="2" s="1"/>
  <c r="L142" i="2"/>
  <c r="M142" i="2" s="1"/>
  <c r="L134" i="2"/>
  <c r="M134" i="2" s="1"/>
  <c r="L126" i="2"/>
  <c r="M126" i="2" s="1"/>
  <c r="L118" i="2"/>
  <c r="M118" i="2" s="1"/>
  <c r="L110" i="2"/>
  <c r="M110" i="2" s="1"/>
  <c r="L102" i="2"/>
  <c r="M102" i="2" s="1"/>
  <c r="L98" i="2"/>
  <c r="M98" i="2" s="1"/>
  <c r="L90" i="2"/>
  <c r="M90" i="2" s="1"/>
  <c r="L82" i="2"/>
  <c r="M82" i="2" s="1"/>
  <c r="L74" i="2"/>
  <c r="M74" i="2" s="1"/>
  <c r="L66" i="2"/>
  <c r="M66" i="2" s="1"/>
  <c r="L58" i="2"/>
  <c r="M58" i="2" s="1"/>
  <c r="L50" i="2"/>
  <c r="M50" i="2" s="1"/>
  <c r="L42" i="2"/>
  <c r="M42" i="2" s="1"/>
  <c r="L34" i="2"/>
  <c r="M34" i="2" s="1"/>
  <c r="L26" i="2"/>
  <c r="M26" i="2" s="1"/>
  <c r="L18" i="2"/>
  <c r="M18" i="2" s="1"/>
  <c r="L10" i="2"/>
  <c r="M10" i="2" s="1"/>
  <c r="L2" i="2"/>
  <c r="L473" i="2"/>
  <c r="M473" i="2" s="1"/>
  <c r="L469" i="2"/>
  <c r="M469" i="2" s="1"/>
  <c r="L465" i="2"/>
  <c r="M465" i="2" s="1"/>
  <c r="L461" i="2"/>
  <c r="M461" i="2" s="1"/>
  <c r="L457" i="2"/>
  <c r="M457" i="2" s="1"/>
  <c r="L453" i="2"/>
  <c r="M453" i="2" s="1"/>
  <c r="L449" i="2"/>
  <c r="M449" i="2" s="1"/>
  <c r="L445" i="2"/>
  <c r="M445" i="2" s="1"/>
  <c r="L441" i="2"/>
  <c r="M441" i="2" s="1"/>
  <c r="L437" i="2"/>
  <c r="M437" i="2" s="1"/>
  <c r="L433" i="2"/>
  <c r="M433" i="2" s="1"/>
  <c r="L429" i="2"/>
  <c r="M429" i="2" s="1"/>
  <c r="L425" i="2"/>
  <c r="M425" i="2" s="1"/>
  <c r="L421" i="2"/>
  <c r="M421" i="2" s="1"/>
  <c r="L417" i="2"/>
  <c r="M417" i="2" s="1"/>
  <c r="L413" i="2"/>
  <c r="M413" i="2" s="1"/>
  <c r="L409" i="2"/>
  <c r="M409" i="2" s="1"/>
  <c r="L405" i="2"/>
  <c r="M405" i="2" s="1"/>
  <c r="L401" i="2"/>
  <c r="M401" i="2" s="1"/>
  <c r="L397" i="2"/>
  <c r="M397" i="2" s="1"/>
  <c r="L393" i="2"/>
  <c r="M393" i="2" s="1"/>
  <c r="L389" i="2"/>
  <c r="M389" i="2" s="1"/>
  <c r="L385" i="2"/>
  <c r="M385" i="2" s="1"/>
  <c r="L381" i="2"/>
  <c r="M381" i="2" s="1"/>
  <c r="L377" i="2"/>
  <c r="M377" i="2" s="1"/>
  <c r="L373" i="2"/>
  <c r="M373" i="2" s="1"/>
  <c r="L369" i="2"/>
  <c r="M369" i="2" s="1"/>
  <c r="L33" i="2"/>
  <c r="M33" i="2" s="1"/>
  <c r="L365" i="2"/>
  <c r="M365" i="2" s="1"/>
  <c r="L361" i="2"/>
  <c r="M361" i="2" s="1"/>
  <c r="L357" i="2"/>
  <c r="M357" i="2" s="1"/>
  <c r="L353" i="2"/>
  <c r="M353" i="2" s="1"/>
  <c r="L349" i="2"/>
  <c r="M349" i="2" s="1"/>
  <c r="L345" i="2"/>
  <c r="M345" i="2" s="1"/>
  <c r="L341" i="2"/>
  <c r="M341" i="2" s="1"/>
  <c r="L337" i="2"/>
  <c r="M337" i="2" s="1"/>
  <c r="L333" i="2"/>
  <c r="M333" i="2" s="1"/>
  <c r="L329" i="2"/>
  <c r="M329" i="2" s="1"/>
  <c r="L325" i="2"/>
  <c r="M325" i="2" s="1"/>
  <c r="L321" i="2"/>
  <c r="M321" i="2" s="1"/>
  <c r="L317" i="2"/>
  <c r="M317" i="2" s="1"/>
  <c r="L313" i="2"/>
  <c r="M313" i="2" s="1"/>
  <c r="L309" i="2"/>
  <c r="M309" i="2" s="1"/>
  <c r="L305" i="2"/>
  <c r="M305" i="2" s="1"/>
  <c r="L301" i="2"/>
  <c r="M301" i="2" s="1"/>
  <c r="L297" i="2"/>
  <c r="M297" i="2" s="1"/>
  <c r="L293" i="2"/>
  <c r="M293" i="2" s="1"/>
  <c r="L289" i="2"/>
  <c r="M289" i="2" s="1"/>
  <c r="L285" i="2"/>
  <c r="M285" i="2" s="1"/>
  <c r="L281" i="2"/>
  <c r="M281" i="2" s="1"/>
  <c r="L277" i="2"/>
  <c r="M277" i="2" s="1"/>
  <c r="L273" i="2"/>
  <c r="M273" i="2" s="1"/>
  <c r="L269" i="2"/>
  <c r="M269" i="2" s="1"/>
  <c r="L265" i="2"/>
  <c r="M265" i="2" s="1"/>
  <c r="L261" i="2"/>
  <c r="M261" i="2" s="1"/>
  <c r="L257" i="2"/>
  <c r="M257" i="2" s="1"/>
  <c r="L253" i="2"/>
  <c r="M253" i="2" s="1"/>
  <c r="L249" i="2"/>
  <c r="M249" i="2" s="1"/>
  <c r="L245" i="2"/>
  <c r="M245" i="2" s="1"/>
  <c r="L241" i="2"/>
  <c r="M241" i="2" s="1"/>
  <c r="L237" i="2"/>
  <c r="M237" i="2" s="1"/>
  <c r="L233" i="2"/>
  <c r="M233" i="2" s="1"/>
  <c r="L229" i="2"/>
  <c r="M229" i="2" s="1"/>
  <c r="L225" i="2"/>
  <c r="M225" i="2" s="1"/>
  <c r="L221" i="2"/>
  <c r="M221" i="2" s="1"/>
  <c r="L217" i="2"/>
  <c r="M217" i="2" s="1"/>
  <c r="L213" i="2"/>
  <c r="M213" i="2" s="1"/>
  <c r="L209" i="2"/>
  <c r="M209" i="2" s="1"/>
  <c r="L205" i="2"/>
  <c r="M205" i="2" s="1"/>
  <c r="L201" i="2"/>
  <c r="M201" i="2" s="1"/>
  <c r="L197" i="2"/>
  <c r="M197" i="2" s="1"/>
  <c r="L193" i="2"/>
  <c r="M193" i="2" s="1"/>
  <c r="L189" i="2"/>
  <c r="M189" i="2" s="1"/>
  <c r="L185" i="2"/>
  <c r="M185" i="2" s="1"/>
  <c r="L181" i="2"/>
  <c r="M181" i="2" s="1"/>
  <c r="L177" i="2"/>
  <c r="M177" i="2" s="1"/>
  <c r="L173" i="2"/>
  <c r="M173" i="2" s="1"/>
  <c r="L169" i="2"/>
  <c r="M169" i="2" s="1"/>
  <c r="L165" i="2"/>
  <c r="M165" i="2" s="1"/>
  <c r="L161" i="2"/>
  <c r="M161" i="2" s="1"/>
  <c r="L157" i="2"/>
  <c r="M157" i="2" s="1"/>
  <c r="L153" i="2"/>
  <c r="M153" i="2" s="1"/>
  <c r="L149" i="2"/>
  <c r="M149" i="2" s="1"/>
  <c r="L145" i="2"/>
  <c r="M145" i="2" s="1"/>
  <c r="L141" i="2"/>
  <c r="M141" i="2" s="1"/>
  <c r="L137" i="2"/>
  <c r="M137" i="2" s="1"/>
  <c r="L133" i="2"/>
  <c r="M133" i="2" s="1"/>
  <c r="L129" i="2"/>
  <c r="M129" i="2" s="1"/>
  <c r="L125" i="2"/>
  <c r="M125" i="2" s="1"/>
  <c r="L121" i="2"/>
  <c r="M121" i="2" s="1"/>
  <c r="L117" i="2"/>
  <c r="M117" i="2" s="1"/>
  <c r="L113" i="2"/>
  <c r="M113" i="2" s="1"/>
  <c r="L109" i="2"/>
  <c r="M109" i="2" s="1"/>
  <c r="L105" i="2"/>
  <c r="M105" i="2" s="1"/>
  <c r="L101" i="2"/>
  <c r="M101" i="2" s="1"/>
  <c r="L97" i="2"/>
  <c r="M97" i="2" s="1"/>
  <c r="L93" i="2"/>
  <c r="M93" i="2" s="1"/>
  <c r="L89" i="2"/>
  <c r="M89" i="2" s="1"/>
  <c r="L85" i="2"/>
  <c r="M85" i="2" s="1"/>
  <c r="L81" i="2"/>
  <c r="M81" i="2" s="1"/>
  <c r="L77" i="2"/>
  <c r="M77" i="2" s="1"/>
  <c r="L73" i="2"/>
  <c r="M73" i="2" s="1"/>
  <c r="L69" i="2"/>
  <c r="M69" i="2" s="1"/>
  <c r="L65" i="2"/>
  <c r="M65" i="2" s="1"/>
  <c r="L61" i="2"/>
  <c r="M61" i="2" s="1"/>
  <c r="L57" i="2"/>
  <c r="M57" i="2" s="1"/>
  <c r="L53" i="2"/>
  <c r="M53" i="2" s="1"/>
  <c r="L49" i="2"/>
  <c r="M49" i="2" s="1"/>
  <c r="L45" i="2"/>
  <c r="M45" i="2" s="1"/>
  <c r="L41" i="2"/>
  <c r="M41" i="2" s="1"/>
  <c r="L37" i="2"/>
  <c r="M37" i="2" s="1"/>
  <c r="L29" i="2"/>
  <c r="M29" i="2" s="1"/>
  <c r="L25" i="2"/>
  <c r="M25" i="2" s="1"/>
  <c r="L21" i="2"/>
  <c r="M21" i="2" s="1"/>
  <c r="L17" i="2"/>
  <c r="M17" i="2" s="1"/>
  <c r="L13" i="2"/>
  <c r="M13" i="2" s="1"/>
  <c r="L9" i="2"/>
  <c r="M9" i="2" s="1"/>
  <c r="L5" i="2"/>
  <c r="M5" i="2" s="1"/>
  <c r="S6" i="2" l="1"/>
  <c r="M2" i="2"/>
</calcChain>
</file>

<file path=xl/sharedStrings.xml><?xml version="1.0" encoding="utf-8"?>
<sst xmlns="http://schemas.openxmlformats.org/spreadsheetml/2006/main" count="5036" uniqueCount="130">
  <si>
    <t>Date</t>
  </si>
  <si>
    <t>Product</t>
  </si>
  <si>
    <t>Category</t>
  </si>
  <si>
    <t>Color</t>
  </si>
  <si>
    <t>Brand</t>
  </si>
  <si>
    <t>Country</t>
  </si>
  <si>
    <t>Quantity</t>
  </si>
  <si>
    <t>Unit Cost</t>
  </si>
  <si>
    <t>Unit Price</t>
  </si>
  <si>
    <t>derby</t>
  </si>
  <si>
    <t>FORMAL</t>
  </si>
  <si>
    <t>Black</t>
  </si>
  <si>
    <t>Clarks</t>
  </si>
  <si>
    <t>Nigeria</t>
  </si>
  <si>
    <t>CANVAS</t>
  </si>
  <si>
    <t>Casual</t>
  </si>
  <si>
    <t>Brown</t>
  </si>
  <si>
    <t>steve madden</t>
  </si>
  <si>
    <t>Uganda</t>
  </si>
  <si>
    <t>Slippers</t>
  </si>
  <si>
    <t>open</t>
  </si>
  <si>
    <t>Red</t>
  </si>
  <si>
    <t>NIKE</t>
  </si>
  <si>
    <t>Ghana</t>
  </si>
  <si>
    <t>loafers</t>
  </si>
  <si>
    <t>CASUAL</t>
  </si>
  <si>
    <t>Blue</t>
  </si>
  <si>
    <t>Zara</t>
  </si>
  <si>
    <t>UK</t>
  </si>
  <si>
    <t>BOOTS</t>
  </si>
  <si>
    <t>Utility</t>
  </si>
  <si>
    <t>Green</t>
  </si>
  <si>
    <t>timberland</t>
  </si>
  <si>
    <t>USA</t>
  </si>
  <si>
    <t>Oxford</t>
  </si>
  <si>
    <t>formal</t>
  </si>
  <si>
    <t>CLARKS</t>
  </si>
  <si>
    <t>Kenya</t>
  </si>
  <si>
    <t>brogues</t>
  </si>
  <si>
    <t>India</t>
  </si>
  <si>
    <t>MONK STRAPS</t>
  </si>
  <si>
    <t>Formal</t>
  </si>
  <si>
    <t>zara</t>
  </si>
  <si>
    <t>Germany</t>
  </si>
  <si>
    <t>Derby</t>
  </si>
  <si>
    <t>Albania</t>
  </si>
  <si>
    <t>canvas</t>
  </si>
  <si>
    <t>Steve Madden</t>
  </si>
  <si>
    <t>Cyprus</t>
  </si>
  <si>
    <t>SLIPPERS</t>
  </si>
  <si>
    <t>Open</t>
  </si>
  <si>
    <t>nike</t>
  </si>
  <si>
    <t>Australia</t>
  </si>
  <si>
    <t>Loafers</t>
  </si>
  <si>
    <t>casual</t>
  </si>
  <si>
    <t>ZARA</t>
  </si>
  <si>
    <t>Canada</t>
  </si>
  <si>
    <t>boots</t>
  </si>
  <si>
    <t>UTILITY</t>
  </si>
  <si>
    <t>Timberland</t>
  </si>
  <si>
    <t>Philippines</t>
  </si>
  <si>
    <t>OXFORD</t>
  </si>
  <si>
    <t>clarks</t>
  </si>
  <si>
    <t>Zimbabwe</t>
  </si>
  <si>
    <t>Brogues</t>
  </si>
  <si>
    <t>monk straps</t>
  </si>
  <si>
    <t>DERBY</t>
  </si>
  <si>
    <t>Canvas</t>
  </si>
  <si>
    <t>STEVE MADDEN</t>
  </si>
  <si>
    <t>slippers</t>
  </si>
  <si>
    <t>OPEN</t>
  </si>
  <si>
    <t>Nike</t>
  </si>
  <si>
    <t>LOAFERS</t>
  </si>
  <si>
    <t>Boots</t>
  </si>
  <si>
    <t>utility</t>
  </si>
  <si>
    <t>TIMBERLAND</t>
  </si>
  <si>
    <t>oxford</t>
  </si>
  <si>
    <t>BROGUES</t>
  </si>
  <si>
    <t>Monk Straps</t>
  </si>
  <si>
    <t>Revenue</t>
  </si>
  <si>
    <t>Profit</t>
  </si>
  <si>
    <t>Profit Margin</t>
  </si>
  <si>
    <t>KPIs</t>
  </si>
  <si>
    <t>Total Revenue</t>
  </si>
  <si>
    <t>Total Profit</t>
  </si>
  <si>
    <t>Average Profit Margin</t>
  </si>
  <si>
    <t>Total Quantity Sold</t>
  </si>
  <si>
    <t>Grand Total</t>
  </si>
  <si>
    <t>Sales Volume</t>
  </si>
  <si>
    <t xml:space="preserve"> Cost</t>
  </si>
  <si>
    <t>Product Category</t>
  </si>
  <si>
    <t>Premium</t>
  </si>
  <si>
    <t>Standard</t>
  </si>
  <si>
    <t xml:space="preserve"> Revenue</t>
  </si>
  <si>
    <t>total Cost</t>
  </si>
  <si>
    <t xml:space="preserve"> Profit</t>
  </si>
  <si>
    <t>From the analysis done on the analysis sheet, the following insights were deduced:</t>
  </si>
  <si>
    <t>Project Insights</t>
  </si>
  <si>
    <t>Reccomendations to Managements</t>
  </si>
  <si>
    <t>3. Review pricing and operational costs for low-profit products to improve profitability.</t>
  </si>
  <si>
    <t>4. Improve marketing strategies for weak-performing products and countries to increase customer engagement and sales.</t>
  </si>
  <si>
    <t>5. Monitor discount strategies carefully to avoid reducing overall profit margins.</t>
  </si>
  <si>
    <t>6. Expand premium product offerings since they contribute more revenue and profit to the business.</t>
  </si>
  <si>
    <t>Zen EliteStride Maison Shoe Sales Dashboard 2026</t>
  </si>
  <si>
    <t>Performance level</t>
  </si>
  <si>
    <t xml:space="preserve">1. Total Revenue generated by the business : </t>
  </si>
  <si>
    <t>2.Total profit generated:</t>
  </si>
  <si>
    <r>
      <t xml:space="preserve">UK is the strongest-performing country by profit with the highest profit of  </t>
    </r>
    <r>
      <rPr>
        <i/>
        <sz val="11"/>
        <color theme="1"/>
        <rFont val="Calibri"/>
        <family val="2"/>
      </rPr>
      <t>#1,191.100</t>
    </r>
    <r>
      <rPr>
        <sz val="11"/>
        <color theme="1"/>
        <rFont val="Calibri"/>
        <family val="2"/>
      </rPr>
      <t xml:space="preserve"> . This indicates that there is a high customer demand and a strong market performance in that region. </t>
    </r>
  </si>
  <si>
    <t>5. Strongest Performing Product by Revenue:</t>
  </si>
  <si>
    <t>4. Strongest Performing Country by Profit:</t>
  </si>
  <si>
    <t>6. Most Profitable Product:</t>
  </si>
  <si>
    <t>The most profitable product is canvas with a profit of #2,924,500.</t>
  </si>
  <si>
    <t xml:space="preserve">7. Category that contributed the most to Revenue:  </t>
  </si>
  <si>
    <t xml:space="preserve">The Formal Category contributed the most to the total revenue. Contributing the sum of #214,210,000 to the toatal sum of #338,533,500 as revenue. This makes up 63.3% of the total revenue </t>
  </si>
  <si>
    <t>8. Brand with the highest quantity sold:</t>
  </si>
  <si>
    <t>Clarks sold the highest quantity of 1,212.</t>
  </si>
  <si>
    <r>
      <rPr>
        <b/>
        <sz val="11"/>
        <color theme="1"/>
        <rFont val="Calibri"/>
        <family val="2"/>
      </rPr>
      <t>3. Country that generated the highest Revenue:</t>
    </r>
    <r>
      <rPr>
        <b/>
        <sz val="12"/>
        <color theme="1"/>
        <rFont val="Calibri"/>
        <family val="2"/>
      </rPr>
      <t xml:space="preserve"> </t>
    </r>
    <r>
      <rPr>
        <sz val="12"/>
        <color theme="1"/>
        <rFont val="Calibri"/>
        <family val="2"/>
      </rPr>
      <t>Uganda</t>
    </r>
  </si>
  <si>
    <t>High-Volume</t>
  </si>
  <si>
    <t>Low-Volume</t>
  </si>
  <si>
    <t xml:space="preserve"> Quantity Sold</t>
  </si>
  <si>
    <t xml:space="preserve">9. Transaction type: </t>
  </si>
  <si>
    <t>10. Premium vs Standard:</t>
  </si>
  <si>
    <t>Premium products generated more revenue with a 55% revenue generation.</t>
  </si>
  <si>
    <t>11. Products that require pricing or cost review:</t>
  </si>
  <si>
    <t>Count of Profit Margin</t>
  </si>
  <si>
    <t xml:space="preserve">According to my analysis, Monks Straps, Derby, Oxford and Brogues all have very high revenue but relatively low profits. This shows that they have high market demand but may require better pricing or cost review.    </t>
  </si>
  <si>
    <t>1. Increase focus and marketing investment in high-performing countries like UK and Uganda to maximize revenue opportunities.</t>
  </si>
  <si>
    <t>2. Promote high-profit products like canvas and high categories products such as Formal footwear.</t>
  </si>
  <si>
    <t xml:space="preserve">Monk Straps generated the highest revenue of #62,057,800 among all products and also among the top 5 products with the highest profit. Making it the strongest performing product overall. </t>
  </si>
  <si>
    <t>According to the Pivot Analysis, most transaction are low-volume sales as low-volume sale have a total quantity of 1,917 out of the total quantity of 3,825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</si>
</sst>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mm/dd/yyyy"/>
    <numFmt numFmtId="165" formatCode="[$₦-468]\ #,##0"/>
    <numFmt numFmtId="166" formatCode="m/d/yyyy;@"/>
    <numFmt numFmtId="167" formatCode="0.0%"/>
    <numFmt numFmtId="168" formatCode="\₦#,##0.0,,&quot;M&quot;"/>
    <numFmt numFmtId="169" formatCode="[$₦-466]\ #,##0"/>
    <numFmt numFmtId="170" formatCode="[$₦-470]#,##0"/>
  </numFmts>
  <fonts count="17" x14ac:knownFonts="1">
    <font>
      <sz val="11"/>
      <color theme="1"/>
      <name val="Calibri"/>
    </font>
    <font>
      <b/>
      <sz val="11"/>
      <color rgb="FFFFFFFF"/>
      <name val="Calibri"/>
      <family val="2"/>
    </font>
    <font>
      <sz val="11"/>
      <color theme="1"/>
      <name val="Calibri"/>
      <family val="2"/>
    </font>
    <font>
      <sz val="8"/>
      <name val="Calibri"/>
      <family val="2"/>
    </font>
    <font>
      <b/>
      <sz val="14"/>
      <color rgb="FFFF0000"/>
      <name val="Calibri"/>
      <family val="2"/>
    </font>
    <font>
      <b/>
      <sz val="12"/>
      <color theme="1"/>
      <name val="Calibri"/>
      <family val="2"/>
    </font>
    <font>
      <b/>
      <sz val="11"/>
      <color theme="1"/>
      <name val="Calibri"/>
    </font>
    <font>
      <b/>
      <sz val="11"/>
      <color theme="1"/>
      <name val="Calibri"/>
      <family val="2"/>
    </font>
    <font>
      <b/>
      <sz val="13.5"/>
      <color theme="1"/>
      <name val="Calibri"/>
    </font>
    <font>
      <b/>
      <sz val="14"/>
      <color theme="1"/>
      <name val="Calibri"/>
      <family val="2"/>
    </font>
    <font>
      <b/>
      <sz val="22"/>
      <color theme="0"/>
      <name val="Calibri"/>
      <family val="2"/>
    </font>
    <font>
      <sz val="22"/>
      <color theme="0"/>
      <name val="Calibri"/>
      <family val="2"/>
    </font>
    <font>
      <sz val="16"/>
      <color rgb="FFFF0000"/>
      <name val="Calibri"/>
      <family val="2"/>
    </font>
    <font>
      <b/>
      <sz val="24"/>
      <color theme="0"/>
      <name val="Calibri"/>
      <family val="2"/>
    </font>
    <font>
      <b/>
      <sz val="12"/>
      <color theme="1"/>
      <name val="Calibri"/>
    </font>
    <font>
      <sz val="12"/>
      <color theme="1"/>
      <name val="Calibri"/>
      <family val="2"/>
    </font>
    <font>
      <i/>
      <sz val="11"/>
      <color theme="1"/>
      <name val="Calibri"/>
      <family val="2"/>
    </font>
  </fonts>
  <fills count="7">
    <fill>
      <patternFill patternType="none"/>
    </fill>
    <fill>
      <patternFill patternType="gray125"/>
    </fill>
    <fill>
      <patternFill patternType="solid">
        <fgColor rgb="FF1F4E78"/>
      </patternFill>
    </fill>
    <fill>
      <patternFill patternType="solid">
        <fgColor theme="4" tint="0.79998168889431442"/>
        <bgColor theme="4" tint="0.79998168889431442"/>
      </patternFill>
    </fill>
    <fill>
      <patternFill patternType="solid">
        <fgColor rgb="FF1F4E78"/>
        <bgColor indexed="64"/>
      </patternFill>
    </fill>
    <fill>
      <patternFill patternType="solid">
        <fgColor theme="3"/>
        <bgColor indexed="64"/>
      </patternFill>
    </fill>
    <fill>
      <patternFill patternType="solid">
        <fgColor theme="0"/>
        <bgColor indexed="64"/>
      </patternFill>
    </fill>
  </fills>
  <borders count="5">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s>
  <cellStyleXfs count="1">
    <xf numFmtId="0" fontId="0" fillId="0" borderId="0"/>
  </cellStyleXfs>
  <cellXfs count="65">
    <xf numFmtId="0" fontId="0" fillId="0" borderId="0" xfId="0"/>
    <xf numFmtId="0" fontId="2" fillId="0" borderId="2" xfId="0" applyFont="1" applyBorder="1"/>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164" fontId="2" fillId="3" borderId="3" xfId="0" applyNumberFormat="1" applyFont="1" applyFill="1" applyBorder="1"/>
    <xf numFmtId="0" fontId="2" fillId="3" borderId="4" xfId="0" applyFont="1" applyFill="1" applyBorder="1"/>
    <xf numFmtId="1" fontId="2" fillId="3" borderId="4" xfId="0" applyNumberFormat="1" applyFont="1" applyFill="1" applyBorder="1"/>
    <xf numFmtId="3" fontId="2" fillId="3" borderId="4" xfId="0" applyNumberFormat="1" applyFont="1" applyFill="1" applyBorder="1"/>
    <xf numFmtId="164" fontId="2" fillId="0" borderId="3" xfId="0" applyNumberFormat="1" applyFont="1" applyBorder="1"/>
    <xf numFmtId="0" fontId="2" fillId="0" borderId="4" xfId="0" applyFont="1" applyBorder="1"/>
    <xf numFmtId="1" fontId="2" fillId="0" borderId="4" xfId="0" applyNumberFormat="1" applyFont="1" applyBorder="1"/>
    <xf numFmtId="3" fontId="2" fillId="0" borderId="4" xfId="0" applyNumberFormat="1" applyFont="1" applyBorder="1"/>
    <xf numFmtId="164" fontId="2" fillId="0" borderId="1" xfId="0" applyNumberFormat="1" applyFont="1" applyBorder="1"/>
    <xf numFmtId="1" fontId="2" fillId="0" borderId="2" xfId="0" applyNumberFormat="1" applyFont="1" applyBorder="1"/>
    <xf numFmtId="3" fontId="2" fillId="0" borderId="2" xfId="0" applyNumberFormat="1" applyFont="1" applyBorder="1"/>
    <xf numFmtId="165" fontId="2" fillId="3" borderId="4" xfId="0" applyNumberFormat="1" applyFont="1" applyFill="1" applyBorder="1"/>
    <xf numFmtId="165" fontId="2" fillId="0" borderId="4" xfId="0" applyNumberFormat="1" applyFont="1" applyBorder="1"/>
    <xf numFmtId="165" fontId="0" fillId="0" borderId="0" xfId="0" applyNumberFormat="1"/>
    <xf numFmtId="0" fontId="2" fillId="0" borderId="0" xfId="0" applyFont="1"/>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167" fontId="2" fillId="3" borderId="4" xfId="0" applyNumberFormat="1" applyFont="1" applyFill="1" applyBorder="1"/>
    <xf numFmtId="167" fontId="2" fillId="0" borderId="4" xfId="0" applyNumberFormat="1" applyFont="1" applyBorder="1"/>
    <xf numFmtId="0" fontId="4" fillId="0" borderId="0" xfId="0" applyFont="1"/>
    <xf numFmtId="3" fontId="5" fillId="0" borderId="0" xfId="0" applyNumberFormat="1" applyFont="1"/>
    <xf numFmtId="3" fontId="0" fillId="0" borderId="0" xfId="0" applyNumberFormat="1"/>
    <xf numFmtId="49" fontId="2" fillId="3" borderId="4" xfId="0" applyNumberFormat="1" applyFont="1" applyFill="1" applyBorder="1"/>
    <xf numFmtId="49" fontId="2" fillId="0" borderId="4" xfId="0" applyNumberFormat="1" applyFont="1" applyBorder="1"/>
    <xf numFmtId="49" fontId="0" fillId="0" borderId="0" xfId="0" applyNumberFormat="1"/>
    <xf numFmtId="0" fontId="8" fillId="0" borderId="0" xfId="0" applyFont="1" applyAlignment="1">
      <alignment vertical="center"/>
    </xf>
    <xf numFmtId="0" fontId="0" fillId="0" borderId="0" xfId="0" applyAlignment="1">
      <alignment horizontal="left" vertical="center" indent="1"/>
    </xf>
    <xf numFmtId="0" fontId="6" fillId="0" borderId="0" xfId="0" applyFont="1" applyAlignment="1">
      <alignment horizontal="left" vertical="center" indent="1"/>
    </xf>
    <xf numFmtId="0" fontId="9" fillId="0" borderId="0" xfId="0" applyFont="1"/>
    <xf numFmtId="0" fontId="7" fillId="0" borderId="0" xfId="0" applyFont="1"/>
    <xf numFmtId="0" fontId="7" fillId="0" borderId="0" xfId="0" applyFont="1" applyAlignment="1">
      <alignment vertical="center"/>
    </xf>
    <xf numFmtId="0" fontId="2" fillId="0" borderId="0" xfId="0" applyFont="1" applyAlignment="1">
      <alignment wrapText="1"/>
    </xf>
    <xf numFmtId="0" fontId="5" fillId="0" borderId="0" xfId="0" applyFont="1"/>
    <xf numFmtId="0" fontId="0" fillId="0" borderId="0" xfId="0" applyAlignment="1">
      <alignment vertical="center" wrapText="1"/>
    </xf>
    <xf numFmtId="0" fontId="2" fillId="0" borderId="0" xfId="0" applyFont="1" applyAlignment="1">
      <alignment vertical="center" wrapText="1"/>
    </xf>
    <xf numFmtId="0" fontId="12" fillId="0" borderId="0" xfId="0" applyFont="1"/>
    <xf numFmtId="168" fontId="9" fillId="0" borderId="0" xfId="0" applyNumberFormat="1" applyFont="1"/>
    <xf numFmtId="0" fontId="10" fillId="6" borderId="0" xfId="0" applyFont="1" applyFill="1"/>
    <xf numFmtId="0" fontId="0" fillId="6" borderId="0" xfId="0" applyFill="1"/>
    <xf numFmtId="0" fontId="11" fillId="0" borderId="0" xfId="0" applyFont="1" applyAlignment="1">
      <alignment horizontal="center" vertical="center"/>
    </xf>
    <xf numFmtId="166" fontId="2" fillId="3" borderId="4" xfId="0" applyNumberFormat="1" applyFont="1" applyFill="1" applyBorder="1"/>
    <xf numFmtId="166" fontId="2" fillId="0" borderId="4" xfId="0" applyNumberFormat="1" applyFont="1" applyBorder="1"/>
    <xf numFmtId="166" fontId="1" fillId="2" borderId="0" xfId="0" applyNumberFormat="1" applyFont="1" applyFill="1" applyAlignment="1">
      <alignment horizontal="center" vertical="center"/>
    </xf>
    <xf numFmtId="49" fontId="1" fillId="2" borderId="0" xfId="0" applyNumberFormat="1" applyFont="1" applyFill="1" applyAlignment="1">
      <alignment horizontal="center" vertical="center"/>
    </xf>
    <xf numFmtId="0" fontId="1" fillId="2" borderId="0" xfId="0" applyFont="1" applyFill="1" applyAlignment="1">
      <alignment horizontal="center" vertical="center"/>
    </xf>
    <xf numFmtId="165" fontId="1" fillId="2" borderId="0" xfId="0" applyNumberFormat="1" applyFont="1" applyFill="1" applyAlignment="1">
      <alignment horizontal="center" vertical="center"/>
    </xf>
    <xf numFmtId="165" fontId="1" fillId="4" borderId="0" xfId="0" applyNumberFormat="1" applyFont="1" applyFill="1" applyAlignment="1">
      <alignment horizontal="center" vertical="center"/>
    </xf>
    <xf numFmtId="167" fontId="1" fillId="4" borderId="0" xfId="0" applyNumberFormat="1" applyFont="1" applyFill="1" applyAlignment="1">
      <alignment horizontal="center" vertical="center"/>
    </xf>
    <xf numFmtId="168" fontId="5" fillId="0" borderId="0" xfId="0" applyNumberFormat="1" applyFont="1"/>
    <xf numFmtId="0" fontId="1" fillId="4" borderId="0" xfId="0" applyFont="1" applyFill="1" applyAlignment="1">
      <alignment horizontal="center" vertical="center"/>
    </xf>
    <xf numFmtId="0" fontId="2" fillId="3" borderId="0" xfId="0" applyFont="1" applyFill="1"/>
    <xf numFmtId="170" fontId="2" fillId="0" borderId="0" xfId="0" applyNumberFormat="1" applyFont="1"/>
    <xf numFmtId="169" fontId="0" fillId="0" borderId="0" xfId="0" applyNumberFormat="1"/>
    <xf numFmtId="10" fontId="14" fillId="0" borderId="0" xfId="0" applyNumberFormat="1" applyFont="1"/>
    <xf numFmtId="165" fontId="9" fillId="0" borderId="0" xfId="0" applyNumberFormat="1" applyFont="1"/>
    <xf numFmtId="0" fontId="16" fillId="0" borderId="0" xfId="0" applyFont="1"/>
    <xf numFmtId="0" fontId="7" fillId="0" borderId="0" xfId="0" applyFont="1" applyAlignment="1">
      <alignment horizontal="left" vertical="center" indent="1"/>
    </xf>
    <xf numFmtId="0" fontId="13" fillId="5" borderId="0" xfId="0" applyFont="1" applyFill="1" applyAlignment="1">
      <alignment horizontal="center" vertical="center"/>
    </xf>
    <xf numFmtId="0" fontId="11" fillId="5" borderId="0" xfId="0" applyFont="1" applyFill="1" applyAlignment="1">
      <alignment horizontal="center" vertical="center"/>
    </xf>
  </cellXfs>
  <cellStyles count="1">
    <cellStyle name="Normal" xfId="0" builtinId="0"/>
  </cellStyles>
  <dxfs count="449">
    <dxf>
      <numFmt numFmtId="165" formatCode="[$₦-468]\ #,##0"/>
    </dxf>
    <dxf>
      <numFmt numFmtId="165" formatCode="[$₦-468]\ #,##0"/>
    </dxf>
    <dxf>
      <numFmt numFmtId="165" formatCode="[$₦-468]\ #,##0"/>
    </dxf>
    <dxf>
      <numFmt numFmtId="3" formatCode="#,##0"/>
    </dxf>
    <dxf>
      <numFmt numFmtId="165" formatCode="[$₦-468]\ #,##0"/>
    </dxf>
    <dxf>
      <numFmt numFmtId="165" formatCode="[$₦-468]\ #,##0"/>
    </dxf>
    <dxf>
      <numFmt numFmtId="165" formatCode="[$₦-468]\ #,##0"/>
    </dxf>
    <dxf>
      <numFmt numFmtId="3" formatCode="#,##0"/>
    </dxf>
    <dxf>
      <numFmt numFmtId="165" formatCode="[$₦-468]\ #,##0"/>
    </dxf>
    <dxf>
      <numFmt numFmtId="165" formatCode="[$₦-468]\ #,##0"/>
    </dxf>
    <dxf>
      <font>
        <b/>
        <family val="2"/>
      </font>
    </dxf>
    <dxf>
      <font>
        <b/>
        <family val="2"/>
      </font>
    </dxf>
    <dxf>
      <font>
        <sz val="12"/>
      </font>
    </dxf>
    <dxf>
      <font>
        <sz val="12"/>
      </font>
    </dxf>
    <dxf>
      <numFmt numFmtId="169" formatCode="[$₦-466]\ #,##0"/>
    </dxf>
    <dxf>
      <font>
        <b/>
        <family val="2"/>
      </font>
    </dxf>
    <dxf>
      <font>
        <sz val="12"/>
      </font>
    </dxf>
    <dxf>
      <font>
        <b/>
        <family val="2"/>
      </font>
    </dxf>
    <dxf>
      <font>
        <sz val="12"/>
      </font>
    </dxf>
    <dxf>
      <numFmt numFmtId="3" formatCode="#,##0"/>
    </dxf>
    <dxf>
      <font>
        <sz val="12"/>
      </font>
    </dxf>
    <dxf>
      <font>
        <b/>
      </font>
    </dxf>
    <dxf>
      <numFmt numFmtId="14" formatCode="0.00%"/>
    </dxf>
    <dxf>
      <numFmt numFmtId="168" formatCode="\₦#,##0.0,,&quot;M&quot;"/>
    </dxf>
    <dxf>
      <numFmt numFmtId="168" formatCode="\₦#,##0.0,,&quot;M&quot;"/>
    </dxf>
    <dxf>
      <numFmt numFmtId="168" formatCode="\₦#,##0.0,,&quot;M&quot;"/>
    </dxf>
    <dxf>
      <numFmt numFmtId="165" formatCode="[$₦-468]\ #,##0"/>
    </dxf>
    <dxf>
      <numFmt numFmtId="165" formatCode="[$₦-468]\ #,##0"/>
    </dxf>
    <dxf>
      <numFmt numFmtId="165" formatCode="[$₦-468]\ #,##0"/>
    </dxf>
    <dxf>
      <numFmt numFmtId="165" formatCode="[$₦-468]\ #,##0"/>
    </dxf>
    <dxf>
      <numFmt numFmtId="165" formatCode="[$₦-468]\ #,##0"/>
    </dxf>
    <dxf>
      <numFmt numFmtId="3" formatCode="#,##0"/>
    </dxf>
    <dxf>
      <numFmt numFmtId="165" formatCode="[$₦-468]\ #,##0"/>
    </dxf>
    <dxf>
      <numFmt numFmtId="165" formatCode="[$₦-468]\ #,##0"/>
    </dxf>
    <dxf>
      <numFmt numFmtId="165" formatCode="[$₦-468]\ #,##0"/>
    </dxf>
    <dxf>
      <numFmt numFmtId="3" formatCode="#,##0"/>
    </dxf>
    <dxf>
      <numFmt numFmtId="165" formatCode="[$₦-468]\ #,##0"/>
    </dxf>
    <dxf>
      <numFmt numFmtId="165" formatCode="[$₦-468]\ #,##0"/>
    </dxf>
    <dxf>
      <font>
        <b/>
        <family val="2"/>
      </font>
    </dxf>
    <dxf>
      <font>
        <b/>
        <family val="2"/>
      </font>
    </dxf>
    <dxf>
      <font>
        <sz val="12"/>
      </font>
    </dxf>
    <dxf>
      <font>
        <sz val="12"/>
      </font>
    </dxf>
    <dxf>
      <numFmt numFmtId="169" formatCode="[$₦-466]\ #,##0"/>
    </dxf>
    <dxf>
      <font>
        <b/>
        <family val="2"/>
      </font>
    </dxf>
    <dxf>
      <font>
        <sz val="12"/>
      </font>
    </dxf>
    <dxf>
      <font>
        <b/>
        <family val="2"/>
      </font>
    </dxf>
    <dxf>
      <font>
        <sz val="12"/>
      </font>
    </dxf>
    <dxf>
      <numFmt numFmtId="3" formatCode="#,##0"/>
    </dxf>
    <dxf>
      <font>
        <sz val="12"/>
      </font>
    </dxf>
    <dxf>
      <font>
        <b/>
      </font>
    </dxf>
    <dxf>
      <numFmt numFmtId="14" formatCode="0.00%"/>
    </dxf>
    <dxf>
      <numFmt numFmtId="168" formatCode="\₦#,##0.0,,&quot;M&quot;"/>
    </dxf>
    <dxf>
      <numFmt numFmtId="168" formatCode="\₦#,##0.0,,&quot;M&quot;"/>
    </dxf>
    <dxf>
      <numFmt numFmtId="168" formatCode="\₦#,##0.0,,&quot;M&quot;"/>
    </dxf>
    <dxf>
      <numFmt numFmtId="165" formatCode="[$₦-468]\ #,##0"/>
    </dxf>
    <dxf>
      <numFmt numFmtId="165" formatCode="[$₦-468]\ #,##0"/>
    </dxf>
    <dxf>
      <numFmt numFmtId="165" formatCode="[$₦-468]\ #,##0"/>
    </dxf>
    <dxf>
      <numFmt numFmtId="165" formatCode="[$₦-468]\ #,##0"/>
    </dxf>
    <dxf>
      <numFmt numFmtId="165" formatCode="[$₦-468]\ #,##0"/>
    </dxf>
    <dxf>
      <numFmt numFmtId="3" formatCode="#,##0"/>
    </dxf>
    <dxf>
      <numFmt numFmtId="165" formatCode="[$₦-468]\ #,##0"/>
    </dxf>
    <dxf>
      <numFmt numFmtId="165" formatCode="[$₦-468]\ #,##0"/>
    </dxf>
    <dxf>
      <numFmt numFmtId="165" formatCode="[$₦-468]\ #,##0"/>
    </dxf>
    <dxf>
      <numFmt numFmtId="3" formatCode="#,##0"/>
    </dxf>
    <dxf>
      <numFmt numFmtId="165" formatCode="[$₦-468]\ #,##0"/>
    </dxf>
    <dxf>
      <numFmt numFmtId="165" formatCode="[$₦-468]\ #,##0"/>
    </dxf>
    <dxf>
      <font>
        <b/>
        <family val="2"/>
      </font>
    </dxf>
    <dxf>
      <font>
        <b/>
        <family val="2"/>
      </font>
    </dxf>
    <dxf>
      <font>
        <sz val="12"/>
      </font>
    </dxf>
    <dxf>
      <font>
        <sz val="12"/>
      </font>
    </dxf>
    <dxf>
      <numFmt numFmtId="169" formatCode="[$₦-466]\ #,##0"/>
    </dxf>
    <dxf>
      <font>
        <b/>
        <family val="2"/>
      </font>
    </dxf>
    <dxf>
      <font>
        <sz val="12"/>
      </font>
    </dxf>
    <dxf>
      <font>
        <b/>
        <family val="2"/>
      </font>
    </dxf>
    <dxf>
      <font>
        <sz val="12"/>
      </font>
    </dxf>
    <dxf>
      <numFmt numFmtId="3" formatCode="#,##0"/>
    </dxf>
    <dxf>
      <font>
        <sz val="12"/>
      </font>
    </dxf>
    <dxf>
      <font>
        <b/>
      </font>
    </dxf>
    <dxf>
      <numFmt numFmtId="14" formatCode="0.00%"/>
    </dxf>
    <dxf>
      <numFmt numFmtId="168" formatCode="\₦#,##0.0,,&quot;M&quot;"/>
    </dxf>
    <dxf>
      <numFmt numFmtId="168" formatCode="\₦#,##0.0,,&quot;M&quot;"/>
    </dxf>
    <dxf>
      <numFmt numFmtId="168" formatCode="\₦#,##0.0,,&quot;M&quot;"/>
    </dxf>
    <dxf>
      <numFmt numFmtId="165" formatCode="[$₦-468]\ #,##0"/>
    </dxf>
    <dxf>
      <numFmt numFmtId="165" formatCode="[$₦-468]\ #,##0"/>
    </dxf>
    <dxf>
      <numFmt numFmtId="165" formatCode="[$₦-468]\ #,##0"/>
    </dxf>
    <dxf>
      <numFmt numFmtId="165" formatCode="[$₦-468]\ #,##0"/>
    </dxf>
    <dxf>
      <numFmt numFmtId="165" formatCode="[$₦-468]\ #,##0"/>
    </dxf>
    <dxf>
      <numFmt numFmtId="3" formatCode="#,##0"/>
    </dxf>
    <dxf>
      <numFmt numFmtId="165" formatCode="[$₦-468]\ #,##0"/>
    </dxf>
    <dxf>
      <numFmt numFmtId="165" formatCode="[$₦-468]\ #,##0"/>
    </dxf>
    <dxf>
      <numFmt numFmtId="165" formatCode="[$₦-468]\ #,##0"/>
    </dxf>
    <dxf>
      <numFmt numFmtId="3" formatCode="#,##0"/>
    </dxf>
    <dxf>
      <numFmt numFmtId="165" formatCode="[$₦-468]\ #,##0"/>
    </dxf>
    <dxf>
      <numFmt numFmtId="165" formatCode="[$₦-468]\ #,##0"/>
    </dxf>
    <dxf>
      <font>
        <b/>
        <family val="2"/>
      </font>
    </dxf>
    <dxf>
      <font>
        <b/>
        <family val="2"/>
      </font>
    </dxf>
    <dxf>
      <font>
        <sz val="12"/>
      </font>
    </dxf>
    <dxf>
      <font>
        <sz val="12"/>
      </font>
    </dxf>
    <dxf>
      <numFmt numFmtId="169" formatCode="[$₦-466]\ #,##0"/>
    </dxf>
    <dxf>
      <font>
        <b/>
        <family val="2"/>
      </font>
    </dxf>
    <dxf>
      <font>
        <sz val="12"/>
      </font>
    </dxf>
    <dxf>
      <font>
        <b/>
        <family val="2"/>
      </font>
    </dxf>
    <dxf>
      <font>
        <sz val="12"/>
      </font>
    </dxf>
    <dxf>
      <numFmt numFmtId="3" formatCode="#,##0"/>
    </dxf>
    <dxf>
      <font>
        <sz val="12"/>
      </font>
    </dxf>
    <dxf>
      <font>
        <b/>
      </font>
    </dxf>
    <dxf>
      <numFmt numFmtId="14" formatCode="0.00%"/>
    </dxf>
    <dxf>
      <numFmt numFmtId="168" formatCode="\₦#,##0.0,,&quot;M&quot;"/>
    </dxf>
    <dxf>
      <numFmt numFmtId="168" formatCode="\₦#,##0.0,,&quot;M&quot;"/>
    </dxf>
    <dxf>
      <numFmt numFmtId="168" formatCode="\₦#,##0.0,,&quot;M&quot;"/>
    </dxf>
    <dxf>
      <numFmt numFmtId="165" formatCode="[$₦-468]\ #,##0"/>
    </dxf>
    <dxf>
      <numFmt numFmtId="165" formatCode="[$₦-468]\ #,##0"/>
    </dxf>
    <dxf>
      <numFmt numFmtId="165" formatCode="[$₦-468]\ #,##0"/>
    </dxf>
    <dxf>
      <numFmt numFmtId="165" formatCode="[$₦-468]\ #,##0"/>
    </dxf>
    <dxf>
      <numFmt numFmtId="165" formatCode="[$₦-468]\ #,##0"/>
    </dxf>
    <dxf>
      <numFmt numFmtId="3" formatCode="#,##0"/>
    </dxf>
    <dxf>
      <numFmt numFmtId="165" formatCode="[$₦-468]\ #,##0"/>
    </dxf>
    <dxf>
      <numFmt numFmtId="165" formatCode="[$₦-468]\ #,##0"/>
    </dxf>
    <dxf>
      <numFmt numFmtId="165" formatCode="[$₦-468]\ #,##0"/>
    </dxf>
    <dxf>
      <numFmt numFmtId="3" formatCode="#,##0"/>
    </dxf>
    <dxf>
      <numFmt numFmtId="165" formatCode="[$₦-468]\ #,##0"/>
    </dxf>
    <dxf>
      <numFmt numFmtId="165" formatCode="[$₦-468]\ #,##0"/>
    </dxf>
    <dxf>
      <font>
        <b/>
        <family val="2"/>
      </font>
    </dxf>
    <dxf>
      <font>
        <b/>
        <family val="2"/>
      </font>
    </dxf>
    <dxf>
      <font>
        <sz val="12"/>
      </font>
    </dxf>
    <dxf>
      <font>
        <sz val="12"/>
      </font>
    </dxf>
    <dxf>
      <numFmt numFmtId="169" formatCode="[$₦-466]\ #,##0"/>
    </dxf>
    <dxf>
      <font>
        <b/>
        <family val="2"/>
      </font>
    </dxf>
    <dxf>
      <font>
        <sz val="12"/>
      </font>
    </dxf>
    <dxf>
      <font>
        <b/>
        <family val="2"/>
      </font>
    </dxf>
    <dxf>
      <font>
        <sz val="12"/>
      </font>
    </dxf>
    <dxf>
      <numFmt numFmtId="3" formatCode="#,##0"/>
    </dxf>
    <dxf>
      <font>
        <sz val="12"/>
      </font>
    </dxf>
    <dxf>
      <font>
        <b/>
      </font>
    </dxf>
    <dxf>
      <numFmt numFmtId="14" formatCode="0.00%"/>
    </dxf>
    <dxf>
      <numFmt numFmtId="168" formatCode="\₦#,##0.0,,&quot;M&quot;"/>
    </dxf>
    <dxf>
      <numFmt numFmtId="168" formatCode="\₦#,##0.0,,&quot;M&quot;"/>
    </dxf>
    <dxf>
      <numFmt numFmtId="168" formatCode="\₦#,##0.0,,&quot;M&quot;"/>
    </dxf>
    <dxf>
      <numFmt numFmtId="165" formatCode="[$₦-468]\ #,##0"/>
    </dxf>
    <dxf>
      <numFmt numFmtId="165" formatCode="[$₦-468]\ #,##0"/>
    </dxf>
    <dxf>
      <numFmt numFmtId="165" formatCode="[$₦-468]\ #,##0"/>
    </dxf>
    <dxf>
      <numFmt numFmtId="165" formatCode="[$₦-468]\ #,##0"/>
    </dxf>
    <dxf>
      <numFmt numFmtId="165" formatCode="[$₦-468]\ #,##0"/>
    </dxf>
    <dxf>
      <numFmt numFmtId="3" formatCode="#,##0"/>
    </dxf>
    <dxf>
      <numFmt numFmtId="165" formatCode="[$₦-468]\ #,##0"/>
    </dxf>
    <dxf>
      <numFmt numFmtId="165" formatCode="[$₦-468]\ #,##0"/>
    </dxf>
    <dxf>
      <numFmt numFmtId="165" formatCode="[$₦-468]\ #,##0"/>
    </dxf>
    <dxf>
      <numFmt numFmtId="3" formatCode="#,##0"/>
    </dxf>
    <dxf>
      <numFmt numFmtId="165" formatCode="[$₦-468]\ #,##0"/>
    </dxf>
    <dxf>
      <numFmt numFmtId="165" formatCode="[$₦-468]\ #,##0"/>
    </dxf>
    <dxf>
      <font>
        <b/>
        <family val="2"/>
      </font>
    </dxf>
    <dxf>
      <font>
        <b/>
        <family val="2"/>
      </font>
    </dxf>
    <dxf>
      <font>
        <sz val="12"/>
      </font>
    </dxf>
    <dxf>
      <font>
        <sz val="12"/>
      </font>
    </dxf>
    <dxf>
      <numFmt numFmtId="169" formatCode="[$₦-466]\ #,##0"/>
    </dxf>
    <dxf>
      <font>
        <b/>
        <family val="2"/>
      </font>
    </dxf>
    <dxf>
      <font>
        <sz val="12"/>
      </font>
    </dxf>
    <dxf>
      <font>
        <b/>
        <family val="2"/>
      </font>
    </dxf>
    <dxf>
      <font>
        <sz val="12"/>
      </font>
    </dxf>
    <dxf>
      <numFmt numFmtId="3" formatCode="#,##0"/>
    </dxf>
    <dxf>
      <font>
        <sz val="12"/>
      </font>
    </dxf>
    <dxf>
      <font>
        <b/>
      </font>
    </dxf>
    <dxf>
      <numFmt numFmtId="14" formatCode="0.00%"/>
    </dxf>
    <dxf>
      <numFmt numFmtId="168" formatCode="\₦#,##0.0,,&quot;M&quot;"/>
    </dxf>
    <dxf>
      <numFmt numFmtId="168" formatCode="\₦#,##0.0,,&quot;M&quot;"/>
    </dxf>
    <dxf>
      <numFmt numFmtId="168" formatCode="\₦#,##0.0,,&quot;M&quot;"/>
    </dxf>
    <dxf>
      <numFmt numFmtId="165" formatCode="[$₦-468]\ #,##0"/>
    </dxf>
    <dxf>
      <numFmt numFmtId="165" formatCode="[$₦-468]\ #,##0"/>
    </dxf>
    <dxf>
      <numFmt numFmtId="165" formatCode="[$₦-468]\ #,##0"/>
    </dxf>
    <dxf>
      <numFmt numFmtId="165" formatCode="[$₦-468]\ #,##0"/>
    </dxf>
    <dxf>
      <numFmt numFmtId="165" formatCode="[$₦-468]\ #,##0"/>
    </dxf>
    <dxf>
      <numFmt numFmtId="3" formatCode="#,##0"/>
    </dxf>
    <dxf>
      <numFmt numFmtId="165" formatCode="[$₦-468]\ #,##0"/>
    </dxf>
    <dxf>
      <numFmt numFmtId="165" formatCode="[$₦-468]\ #,##0"/>
    </dxf>
    <dxf>
      <numFmt numFmtId="165" formatCode="[$₦-468]\ #,##0"/>
    </dxf>
    <dxf>
      <numFmt numFmtId="3" formatCode="#,##0"/>
    </dxf>
    <dxf>
      <numFmt numFmtId="165" formatCode="[$₦-468]\ #,##0"/>
    </dxf>
    <dxf>
      <numFmt numFmtId="165" formatCode="[$₦-468]\ #,##0"/>
    </dxf>
    <dxf>
      <font>
        <b/>
        <family val="2"/>
      </font>
    </dxf>
    <dxf>
      <font>
        <b/>
        <family val="2"/>
      </font>
    </dxf>
    <dxf>
      <font>
        <sz val="12"/>
      </font>
    </dxf>
    <dxf>
      <font>
        <sz val="12"/>
      </font>
    </dxf>
    <dxf>
      <numFmt numFmtId="169" formatCode="[$₦-466]\ #,##0"/>
    </dxf>
    <dxf>
      <font>
        <b/>
        <family val="2"/>
      </font>
    </dxf>
    <dxf>
      <font>
        <sz val="12"/>
      </font>
    </dxf>
    <dxf>
      <font>
        <b/>
        <family val="2"/>
      </font>
    </dxf>
    <dxf>
      <font>
        <sz val="12"/>
      </font>
    </dxf>
    <dxf>
      <numFmt numFmtId="3" formatCode="#,##0"/>
    </dxf>
    <dxf>
      <font>
        <sz val="12"/>
      </font>
    </dxf>
    <dxf>
      <font>
        <b/>
      </font>
    </dxf>
    <dxf>
      <numFmt numFmtId="14" formatCode="0.00%"/>
    </dxf>
    <dxf>
      <numFmt numFmtId="168" formatCode="\₦#,##0.0,,&quot;M&quot;"/>
    </dxf>
    <dxf>
      <numFmt numFmtId="168" formatCode="\₦#,##0.0,,&quot;M&quot;"/>
    </dxf>
    <dxf>
      <numFmt numFmtId="168" formatCode="\₦#,##0.0,,&quot;M&quot;"/>
    </dxf>
    <dxf>
      <numFmt numFmtId="165" formatCode="[$₦-468]\ #,##0"/>
    </dxf>
    <dxf>
      <numFmt numFmtId="165" formatCode="[$₦-468]\ #,##0"/>
    </dxf>
    <dxf>
      <numFmt numFmtId="165" formatCode="[$₦-468]\ #,##0"/>
    </dxf>
    <dxf>
      <numFmt numFmtId="165" formatCode="[$₦-468]\ #,##0"/>
    </dxf>
    <dxf>
      <numFmt numFmtId="165" formatCode="[$₦-468]\ #,##0"/>
    </dxf>
    <dxf>
      <numFmt numFmtId="3" formatCode="#,##0"/>
    </dxf>
    <dxf>
      <numFmt numFmtId="165" formatCode="[$₦-468]\ #,##0"/>
    </dxf>
    <dxf>
      <numFmt numFmtId="165" formatCode="[$₦-468]\ #,##0"/>
    </dxf>
    <dxf>
      <numFmt numFmtId="165" formatCode="[$₦-468]\ #,##0"/>
    </dxf>
    <dxf>
      <numFmt numFmtId="3" formatCode="#,##0"/>
    </dxf>
    <dxf>
      <numFmt numFmtId="165" formatCode="[$₦-468]\ #,##0"/>
    </dxf>
    <dxf>
      <numFmt numFmtId="165" formatCode="[$₦-468]\ #,##0"/>
    </dxf>
    <dxf>
      <font>
        <b/>
        <family val="2"/>
      </font>
    </dxf>
    <dxf>
      <font>
        <b/>
        <family val="2"/>
      </font>
    </dxf>
    <dxf>
      <font>
        <sz val="12"/>
      </font>
    </dxf>
    <dxf>
      <font>
        <sz val="12"/>
      </font>
    </dxf>
    <dxf>
      <numFmt numFmtId="169" formatCode="[$₦-466]\ #,##0"/>
    </dxf>
    <dxf>
      <font>
        <b/>
        <family val="2"/>
      </font>
    </dxf>
    <dxf>
      <font>
        <sz val="12"/>
      </font>
    </dxf>
    <dxf>
      <font>
        <b/>
        <family val="2"/>
      </font>
    </dxf>
    <dxf>
      <font>
        <sz val="12"/>
      </font>
    </dxf>
    <dxf>
      <numFmt numFmtId="3" formatCode="#,##0"/>
    </dxf>
    <dxf>
      <font>
        <sz val="12"/>
      </font>
    </dxf>
    <dxf>
      <font>
        <b/>
      </font>
    </dxf>
    <dxf>
      <numFmt numFmtId="14" formatCode="0.00%"/>
    </dxf>
    <dxf>
      <numFmt numFmtId="168" formatCode="\₦#,##0.0,,&quot;M&quot;"/>
    </dxf>
    <dxf>
      <numFmt numFmtId="168" formatCode="\₦#,##0.0,,&quot;M&quot;"/>
    </dxf>
    <dxf>
      <numFmt numFmtId="168" formatCode="\₦#,##0.0,,&quot;M&quot;"/>
    </dxf>
    <dxf>
      <numFmt numFmtId="165" formatCode="[$₦-468]\ #,##0"/>
    </dxf>
    <dxf>
      <numFmt numFmtId="165" formatCode="[$₦-468]\ #,##0"/>
    </dxf>
    <dxf>
      <numFmt numFmtId="165" formatCode="[$₦-468]\ #,##0"/>
    </dxf>
    <dxf>
      <numFmt numFmtId="165" formatCode="[$₦-468]\ #,##0"/>
    </dxf>
    <dxf>
      <numFmt numFmtId="165" formatCode="[$₦-468]\ #,##0"/>
    </dxf>
    <dxf>
      <numFmt numFmtId="3" formatCode="#,##0"/>
    </dxf>
    <dxf>
      <numFmt numFmtId="165" formatCode="[$₦-468]\ #,##0"/>
    </dxf>
    <dxf>
      <numFmt numFmtId="165" formatCode="[$₦-468]\ #,##0"/>
    </dxf>
    <dxf>
      <numFmt numFmtId="165" formatCode="[$₦-468]\ #,##0"/>
    </dxf>
    <dxf>
      <numFmt numFmtId="3" formatCode="#,##0"/>
    </dxf>
    <dxf>
      <numFmt numFmtId="165" formatCode="[$₦-468]\ #,##0"/>
    </dxf>
    <dxf>
      <numFmt numFmtId="165" formatCode="[$₦-468]\ #,##0"/>
    </dxf>
    <dxf>
      <font>
        <b/>
        <family val="2"/>
      </font>
    </dxf>
    <dxf>
      <font>
        <b/>
        <family val="2"/>
      </font>
    </dxf>
    <dxf>
      <font>
        <sz val="12"/>
      </font>
    </dxf>
    <dxf>
      <font>
        <sz val="12"/>
      </font>
    </dxf>
    <dxf>
      <numFmt numFmtId="169" formatCode="[$₦-466]\ #,##0"/>
    </dxf>
    <dxf>
      <font>
        <b/>
        <family val="2"/>
      </font>
    </dxf>
    <dxf>
      <font>
        <sz val="12"/>
      </font>
    </dxf>
    <dxf>
      <font>
        <b/>
        <family val="2"/>
      </font>
    </dxf>
    <dxf>
      <font>
        <sz val="12"/>
      </font>
    </dxf>
    <dxf>
      <numFmt numFmtId="3" formatCode="#,##0"/>
    </dxf>
    <dxf>
      <font>
        <sz val="12"/>
      </font>
    </dxf>
    <dxf>
      <font>
        <b/>
      </font>
    </dxf>
    <dxf>
      <numFmt numFmtId="14" formatCode="0.00%"/>
    </dxf>
    <dxf>
      <numFmt numFmtId="168" formatCode="\₦#,##0.0,,&quot;M&quot;"/>
    </dxf>
    <dxf>
      <numFmt numFmtId="168" formatCode="\₦#,##0.0,,&quot;M&quot;"/>
    </dxf>
    <dxf>
      <numFmt numFmtId="168" formatCode="\₦#,##0.0,,&quot;M&quot;"/>
    </dxf>
    <dxf>
      <numFmt numFmtId="165" formatCode="[$₦-468]\ #,##0"/>
    </dxf>
    <dxf>
      <numFmt numFmtId="165" formatCode="[$₦-468]\ #,##0"/>
    </dxf>
    <dxf>
      <numFmt numFmtId="165" formatCode="[$₦-468]\ #,##0"/>
    </dxf>
    <dxf>
      <numFmt numFmtId="165" formatCode="[$₦-468]\ #,##0"/>
    </dxf>
    <dxf>
      <numFmt numFmtId="165" formatCode="[$₦-468]\ #,##0"/>
    </dxf>
    <dxf>
      <numFmt numFmtId="3" formatCode="#,##0"/>
    </dxf>
    <dxf>
      <numFmt numFmtId="165" formatCode="[$₦-468]\ #,##0"/>
    </dxf>
    <dxf>
      <numFmt numFmtId="165" formatCode="[$₦-468]\ #,##0"/>
    </dxf>
    <dxf>
      <numFmt numFmtId="165" formatCode="[$₦-468]\ #,##0"/>
    </dxf>
    <dxf>
      <numFmt numFmtId="3" formatCode="#,##0"/>
    </dxf>
    <dxf>
      <numFmt numFmtId="165" formatCode="[$₦-468]\ #,##0"/>
    </dxf>
    <dxf>
      <numFmt numFmtId="165" formatCode="[$₦-468]\ #,##0"/>
    </dxf>
    <dxf>
      <font>
        <b/>
        <family val="2"/>
      </font>
    </dxf>
    <dxf>
      <font>
        <b/>
        <family val="2"/>
      </font>
    </dxf>
    <dxf>
      <font>
        <sz val="12"/>
      </font>
    </dxf>
    <dxf>
      <font>
        <sz val="12"/>
      </font>
    </dxf>
    <dxf>
      <numFmt numFmtId="169" formatCode="[$₦-466]\ #,##0"/>
    </dxf>
    <dxf>
      <font>
        <b/>
        <family val="2"/>
      </font>
    </dxf>
    <dxf>
      <font>
        <sz val="12"/>
      </font>
    </dxf>
    <dxf>
      <font>
        <b/>
        <family val="2"/>
      </font>
    </dxf>
    <dxf>
      <font>
        <sz val="12"/>
      </font>
    </dxf>
    <dxf>
      <numFmt numFmtId="3" formatCode="#,##0"/>
    </dxf>
    <dxf>
      <font>
        <sz val="12"/>
      </font>
    </dxf>
    <dxf>
      <font>
        <b/>
      </font>
    </dxf>
    <dxf>
      <numFmt numFmtId="14" formatCode="0.00%"/>
    </dxf>
    <dxf>
      <numFmt numFmtId="168" formatCode="\₦#,##0.0,,&quot;M&quot;"/>
    </dxf>
    <dxf>
      <numFmt numFmtId="168" formatCode="\₦#,##0.0,,&quot;M&quot;"/>
    </dxf>
    <dxf>
      <numFmt numFmtId="168" formatCode="\₦#,##0.0,,&quot;M&quot;"/>
    </dxf>
    <dxf>
      <numFmt numFmtId="165" formatCode="[$₦-468]\ #,##0"/>
    </dxf>
    <dxf>
      <numFmt numFmtId="165" formatCode="[$₦-468]\ #,##0"/>
    </dxf>
    <dxf>
      <numFmt numFmtId="165" formatCode="[$₦-468]\ #,##0"/>
    </dxf>
    <dxf>
      <numFmt numFmtId="165" formatCode="[$₦-468]\ #,##0"/>
    </dxf>
    <dxf>
      <numFmt numFmtId="165" formatCode="[$₦-468]\ #,##0"/>
    </dxf>
    <dxf>
      <numFmt numFmtId="3" formatCode="#,##0"/>
    </dxf>
    <dxf>
      <numFmt numFmtId="165" formatCode="[$₦-468]\ #,##0"/>
    </dxf>
    <dxf>
      <numFmt numFmtId="165" formatCode="[$₦-468]\ #,##0"/>
    </dxf>
    <dxf>
      <numFmt numFmtId="165" formatCode="[$₦-468]\ #,##0"/>
    </dxf>
    <dxf>
      <numFmt numFmtId="3" formatCode="#,##0"/>
    </dxf>
    <dxf>
      <numFmt numFmtId="165" formatCode="[$₦-468]\ #,##0"/>
    </dxf>
    <dxf>
      <numFmt numFmtId="165" formatCode="[$₦-468]\ #,##0"/>
    </dxf>
    <dxf>
      <font>
        <b/>
        <family val="2"/>
      </font>
    </dxf>
    <dxf>
      <font>
        <b/>
        <family val="2"/>
      </font>
    </dxf>
    <dxf>
      <font>
        <sz val="12"/>
      </font>
    </dxf>
    <dxf>
      <font>
        <sz val="12"/>
      </font>
    </dxf>
    <dxf>
      <numFmt numFmtId="169" formatCode="[$₦-466]\ #,##0"/>
    </dxf>
    <dxf>
      <font>
        <b/>
        <family val="2"/>
      </font>
    </dxf>
    <dxf>
      <font>
        <sz val="12"/>
      </font>
    </dxf>
    <dxf>
      <font>
        <b/>
        <family val="2"/>
      </font>
    </dxf>
    <dxf>
      <font>
        <sz val="12"/>
      </font>
    </dxf>
    <dxf>
      <numFmt numFmtId="3" formatCode="#,##0"/>
    </dxf>
    <dxf>
      <font>
        <sz val="12"/>
      </font>
    </dxf>
    <dxf>
      <font>
        <b/>
      </font>
    </dxf>
    <dxf>
      <numFmt numFmtId="14" formatCode="0.00%"/>
    </dxf>
    <dxf>
      <numFmt numFmtId="168" formatCode="\₦#,##0.0,,&quot;M&quot;"/>
    </dxf>
    <dxf>
      <numFmt numFmtId="168" formatCode="\₦#,##0.0,,&quot;M&quot;"/>
    </dxf>
    <dxf>
      <numFmt numFmtId="168" formatCode="\₦#,##0.0,,&quot;M&quot;"/>
    </dxf>
    <dxf>
      <numFmt numFmtId="165" formatCode="[$₦-468]\ #,##0"/>
    </dxf>
    <dxf>
      <numFmt numFmtId="165" formatCode="[$₦-468]\ #,##0"/>
    </dxf>
    <dxf>
      <numFmt numFmtId="165" formatCode="[$₦-468]\ #,##0"/>
    </dxf>
    <dxf>
      <numFmt numFmtId="165" formatCode="[$₦-468]\ #,##0"/>
    </dxf>
    <dxf>
      <numFmt numFmtId="165" formatCode="[$₦-468]\ #,##0"/>
    </dxf>
    <dxf>
      <numFmt numFmtId="3" formatCode="#,##0"/>
    </dxf>
    <dxf>
      <numFmt numFmtId="165" formatCode="[$₦-468]\ #,##0"/>
    </dxf>
    <dxf>
      <numFmt numFmtId="165" formatCode="[$₦-468]\ #,##0"/>
    </dxf>
    <dxf>
      <numFmt numFmtId="165" formatCode="[$₦-468]\ #,##0"/>
    </dxf>
    <dxf>
      <numFmt numFmtId="3" formatCode="#,##0"/>
    </dxf>
    <dxf>
      <numFmt numFmtId="165" formatCode="[$₦-468]\ #,##0"/>
    </dxf>
    <dxf>
      <numFmt numFmtId="165" formatCode="[$₦-468]\ #,##0"/>
    </dxf>
    <dxf>
      <font>
        <b/>
        <family val="2"/>
      </font>
    </dxf>
    <dxf>
      <font>
        <b/>
        <family val="2"/>
      </font>
    </dxf>
    <dxf>
      <font>
        <sz val="12"/>
      </font>
    </dxf>
    <dxf>
      <font>
        <sz val="12"/>
      </font>
    </dxf>
    <dxf>
      <numFmt numFmtId="169" formatCode="[$₦-466]\ #,##0"/>
    </dxf>
    <dxf>
      <font>
        <b/>
        <family val="2"/>
      </font>
    </dxf>
    <dxf>
      <font>
        <sz val="12"/>
      </font>
    </dxf>
    <dxf>
      <font>
        <b/>
        <family val="2"/>
      </font>
    </dxf>
    <dxf>
      <font>
        <sz val="12"/>
      </font>
    </dxf>
    <dxf>
      <numFmt numFmtId="3" formatCode="#,##0"/>
    </dxf>
    <dxf>
      <font>
        <sz val="12"/>
      </font>
    </dxf>
    <dxf>
      <font>
        <b/>
      </font>
    </dxf>
    <dxf>
      <numFmt numFmtId="14" formatCode="0.00%"/>
    </dxf>
    <dxf>
      <numFmt numFmtId="168" formatCode="\₦#,##0.0,,&quot;M&quot;"/>
    </dxf>
    <dxf>
      <numFmt numFmtId="168" formatCode="\₦#,##0.0,,&quot;M&quot;"/>
    </dxf>
    <dxf>
      <numFmt numFmtId="168" formatCode="\₦#,##0.0,,&quot;M&quot;"/>
    </dxf>
    <dxf>
      <numFmt numFmtId="165" formatCode="[$₦-468]\ #,##0"/>
    </dxf>
    <dxf>
      <numFmt numFmtId="165" formatCode="[$₦-468]\ #,##0"/>
    </dxf>
    <dxf>
      <numFmt numFmtId="165" formatCode="[$₦-468]\ #,##0"/>
    </dxf>
    <dxf>
      <numFmt numFmtId="165" formatCode="[$₦-468]\ #,##0"/>
    </dxf>
    <dxf>
      <numFmt numFmtId="165" formatCode="[$₦-468]\ #,##0"/>
    </dxf>
    <dxf>
      <numFmt numFmtId="3" formatCode="#,##0"/>
    </dxf>
    <dxf>
      <numFmt numFmtId="165" formatCode="[$₦-468]\ #,##0"/>
    </dxf>
    <dxf>
      <numFmt numFmtId="165" formatCode="[$₦-468]\ #,##0"/>
    </dxf>
    <dxf>
      <numFmt numFmtId="165" formatCode="[$₦-468]\ #,##0"/>
    </dxf>
    <dxf>
      <numFmt numFmtId="3" formatCode="#,##0"/>
    </dxf>
    <dxf>
      <numFmt numFmtId="165" formatCode="[$₦-468]\ #,##0"/>
    </dxf>
    <dxf>
      <numFmt numFmtId="165" formatCode="[$₦-468]\ #,##0"/>
    </dxf>
    <dxf>
      <font>
        <b/>
        <family val="2"/>
      </font>
    </dxf>
    <dxf>
      <font>
        <b/>
        <family val="2"/>
      </font>
    </dxf>
    <dxf>
      <font>
        <sz val="12"/>
      </font>
    </dxf>
    <dxf>
      <font>
        <sz val="12"/>
      </font>
    </dxf>
    <dxf>
      <numFmt numFmtId="169" formatCode="[$₦-466]\ #,##0"/>
    </dxf>
    <dxf>
      <font>
        <b/>
        <family val="2"/>
      </font>
    </dxf>
    <dxf>
      <font>
        <sz val="12"/>
      </font>
    </dxf>
    <dxf>
      <font>
        <b/>
        <family val="2"/>
      </font>
    </dxf>
    <dxf>
      <font>
        <sz val="12"/>
      </font>
    </dxf>
    <dxf>
      <numFmt numFmtId="3" formatCode="#,##0"/>
    </dxf>
    <dxf>
      <font>
        <sz val="12"/>
      </font>
    </dxf>
    <dxf>
      <font>
        <b/>
      </font>
    </dxf>
    <dxf>
      <numFmt numFmtId="14" formatCode="0.00%"/>
    </dxf>
    <dxf>
      <numFmt numFmtId="168" formatCode="\₦#,##0.0,,&quot;M&quot;"/>
    </dxf>
    <dxf>
      <numFmt numFmtId="168" formatCode="\₦#,##0.0,,&quot;M&quot;"/>
    </dxf>
    <dxf>
      <numFmt numFmtId="168" formatCode="\₦#,##0.0,,&quot;M&quot;"/>
    </dxf>
    <dxf>
      <numFmt numFmtId="165" formatCode="[$₦-468]\ #,##0"/>
    </dxf>
    <dxf>
      <numFmt numFmtId="165" formatCode="[$₦-468]\ #,##0"/>
    </dxf>
    <dxf>
      <numFmt numFmtId="165" formatCode="[$₦-468]\ #,##0"/>
    </dxf>
    <dxf>
      <numFmt numFmtId="165" formatCode="[$₦-468]\ #,##0"/>
    </dxf>
    <dxf>
      <numFmt numFmtId="165" formatCode="[$₦-468]\ #,##0"/>
    </dxf>
    <dxf>
      <numFmt numFmtId="3" formatCode="#,##0"/>
    </dxf>
    <dxf>
      <numFmt numFmtId="165" formatCode="[$₦-468]\ #,##0"/>
    </dxf>
    <dxf>
      <numFmt numFmtId="165" formatCode="[$₦-468]\ #,##0"/>
    </dxf>
    <dxf>
      <numFmt numFmtId="165" formatCode="[$₦-468]\ #,##0"/>
    </dxf>
    <dxf>
      <numFmt numFmtId="3" formatCode="#,##0"/>
    </dxf>
    <dxf>
      <numFmt numFmtId="165" formatCode="[$₦-468]\ #,##0"/>
    </dxf>
    <dxf>
      <numFmt numFmtId="165" formatCode="[$₦-468]\ #,##0"/>
    </dxf>
    <dxf>
      <font>
        <b/>
        <family val="2"/>
      </font>
    </dxf>
    <dxf>
      <font>
        <b/>
        <family val="2"/>
      </font>
    </dxf>
    <dxf>
      <font>
        <sz val="12"/>
      </font>
    </dxf>
    <dxf>
      <font>
        <sz val="12"/>
      </font>
    </dxf>
    <dxf>
      <numFmt numFmtId="169" formatCode="[$₦-466]\ #,##0"/>
    </dxf>
    <dxf>
      <font>
        <b/>
        <family val="2"/>
      </font>
    </dxf>
    <dxf>
      <font>
        <sz val="12"/>
      </font>
    </dxf>
    <dxf>
      <font>
        <b/>
        <family val="2"/>
      </font>
    </dxf>
    <dxf>
      <font>
        <sz val="12"/>
      </font>
    </dxf>
    <dxf>
      <numFmt numFmtId="3" formatCode="#,##0"/>
    </dxf>
    <dxf>
      <font>
        <sz val="12"/>
      </font>
    </dxf>
    <dxf>
      <font>
        <b/>
      </font>
    </dxf>
    <dxf>
      <numFmt numFmtId="14" formatCode="0.00%"/>
    </dxf>
    <dxf>
      <numFmt numFmtId="168" formatCode="\₦#,##0.0,,&quot;M&quot;"/>
    </dxf>
    <dxf>
      <numFmt numFmtId="168" formatCode="\₦#,##0.0,,&quot;M&quot;"/>
    </dxf>
    <dxf>
      <numFmt numFmtId="168" formatCode="\₦#,##0.0,,&quot;M&quot;"/>
    </dxf>
    <dxf>
      <numFmt numFmtId="165" formatCode="[$₦-468]\ #,##0"/>
    </dxf>
    <dxf>
      <numFmt numFmtId="165" formatCode="[$₦-468]\ #,##0"/>
    </dxf>
    <dxf>
      <numFmt numFmtId="165" formatCode="[$₦-468]\ #,##0"/>
    </dxf>
    <dxf>
      <numFmt numFmtId="165" formatCode="[$₦-468]\ #,##0"/>
    </dxf>
    <dxf>
      <numFmt numFmtId="165" formatCode="[$₦-468]\ #,##0"/>
    </dxf>
    <dxf>
      <numFmt numFmtId="3" formatCode="#,##0"/>
    </dxf>
    <dxf>
      <numFmt numFmtId="165" formatCode="[$₦-468]\ #,##0"/>
    </dxf>
    <dxf>
      <numFmt numFmtId="165" formatCode="[$₦-468]\ #,##0"/>
    </dxf>
    <dxf>
      <numFmt numFmtId="165" formatCode="[$₦-468]\ #,##0"/>
    </dxf>
    <dxf>
      <numFmt numFmtId="3" formatCode="#,##0"/>
    </dxf>
    <dxf>
      <numFmt numFmtId="165" formatCode="[$₦-468]\ #,##0"/>
    </dxf>
    <dxf>
      <numFmt numFmtId="165" formatCode="[$₦-468]\ #,##0"/>
    </dxf>
    <dxf>
      <font>
        <b/>
        <family val="2"/>
      </font>
    </dxf>
    <dxf>
      <font>
        <b/>
        <family val="2"/>
      </font>
    </dxf>
    <dxf>
      <font>
        <sz val="12"/>
      </font>
    </dxf>
    <dxf>
      <font>
        <sz val="12"/>
      </font>
    </dxf>
    <dxf>
      <numFmt numFmtId="169" formatCode="[$₦-466]\ #,##0"/>
    </dxf>
    <dxf>
      <font>
        <b/>
        <family val="2"/>
      </font>
    </dxf>
    <dxf>
      <font>
        <sz val="12"/>
      </font>
    </dxf>
    <dxf>
      <font>
        <b/>
        <family val="2"/>
      </font>
    </dxf>
    <dxf>
      <font>
        <sz val="12"/>
      </font>
    </dxf>
    <dxf>
      <numFmt numFmtId="3" formatCode="#,##0"/>
    </dxf>
    <dxf>
      <font>
        <sz val="12"/>
      </font>
    </dxf>
    <dxf>
      <font>
        <b/>
      </font>
    </dxf>
    <dxf>
      <numFmt numFmtId="14" formatCode="0.00%"/>
    </dxf>
    <dxf>
      <numFmt numFmtId="168" formatCode="\₦#,##0.0,,&quot;M&quot;"/>
    </dxf>
    <dxf>
      <numFmt numFmtId="168" formatCode="\₦#,##0.0,,&quot;M&quot;"/>
    </dxf>
    <dxf>
      <numFmt numFmtId="168" formatCode="\₦#,##0.0,,&quot;M&quot;"/>
    </dxf>
    <dxf>
      <numFmt numFmtId="165" formatCode="[$₦-468]\ #,##0"/>
    </dxf>
    <dxf>
      <numFmt numFmtId="165" formatCode="[$₦-468]\ #,##0"/>
    </dxf>
    <dxf>
      <numFmt numFmtId="165" formatCode="[$₦-468]\ #,##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b val="0"/>
        <i val="0"/>
        <strike val="0"/>
        <condense val="0"/>
        <extend val="0"/>
        <outline val="0"/>
        <shadow val="0"/>
        <u val="none"/>
        <vertAlign val="baseline"/>
        <sz val="11"/>
        <color theme="1"/>
        <name val="Calibri"/>
        <family val="2"/>
        <scheme val="none"/>
      </font>
      <numFmt numFmtId="0" formatCode="General"/>
      <fill>
        <patternFill patternType="solid">
          <fgColor theme="4" tint="0.79998168889431442"/>
          <bgColor theme="4" tint="0.79998168889431442"/>
        </patternFill>
      </fill>
      <border diagonalUp="0" diagonalDown="0">
        <left/>
        <right/>
        <top style="thin">
          <color theme="4" tint="0.39997558519241921"/>
        </top>
        <bottom/>
      </border>
    </dxf>
    <dxf>
      <font>
        <b val="0"/>
        <i val="0"/>
        <strike val="0"/>
        <condense val="0"/>
        <extend val="0"/>
        <outline val="0"/>
        <shadow val="0"/>
        <u val="none"/>
        <vertAlign val="baseline"/>
        <sz val="11"/>
        <color theme="1"/>
        <name val="Calibri"/>
        <family val="2"/>
        <scheme val="none"/>
      </font>
      <numFmt numFmtId="0" formatCode="General"/>
      <fill>
        <patternFill patternType="solid">
          <fgColor theme="4" tint="0.79998168889431442"/>
          <bgColor theme="4" tint="0.79998168889431442"/>
        </patternFill>
      </fill>
      <border diagonalUp="0" diagonalDown="0">
        <left/>
        <right/>
        <top style="thin">
          <color theme="4" tint="0.39997558519241921"/>
        </top>
        <bottom/>
      </border>
    </dxf>
    <dxf>
      <font>
        <b val="0"/>
        <i val="0"/>
        <strike val="0"/>
        <condense val="0"/>
        <extend val="0"/>
        <outline val="0"/>
        <shadow val="0"/>
        <u val="none"/>
        <vertAlign val="baseline"/>
        <sz val="11"/>
        <color theme="1"/>
        <name val="Calibri"/>
        <family val="2"/>
        <scheme val="none"/>
      </font>
      <numFmt numFmtId="0" formatCode="General"/>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none"/>
      </font>
      <numFmt numFmtId="167" formatCode="0.0%"/>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none"/>
      </font>
      <numFmt numFmtId="165" formatCode="[$₦-468]\ #,##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5" formatCode="[$₦-468]\ #,##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5" formatCode="[$₦-468]\ #,##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5" formatCode="[$₦-468]\ #,##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5" formatCode="[$₦-468]\ #,##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30" formatCode="@"/>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30" formatCode="@"/>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30" formatCode="@"/>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30" formatCode="@"/>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30" formatCode="@"/>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6" formatCode="m/d/yyyy;@"/>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none"/>
      </font>
      <fill>
        <patternFill patternType="solid">
          <fgColor theme="4" tint="0.79998168889431442"/>
          <bgColor theme="4" tint="0.79998168889431442"/>
        </patternFill>
      </fill>
    </dxf>
    <dxf>
      <fill>
        <patternFill>
          <bgColor rgb="FFFF0000"/>
        </patternFill>
      </fill>
    </dxf>
    <dxf>
      <fill>
        <patternFill>
          <bgColor rgb="FFFF0000"/>
        </patternFill>
      </fill>
    </dxf>
  </dxfs>
  <tableStyles count="1" defaultTableStyle="TableStyleMedium2" defaultPivotStyle="PivotStyleLight16">
    <tableStyle name="Invisible" pivot="0" table="0" count="0" xr9:uid="{A486BBED-B03D-4E8E-AE7B-B2AC4EBB0543}"/>
  </tableStyles>
  <colors>
    <mruColors>
      <color rgb="FFF8F8F8"/>
      <color rgb="FFF0F5FA"/>
      <color rgb="FFF6F9FC"/>
      <color rgb="FFE9F0F7"/>
      <color rgb="FFE0EAF4"/>
      <color rgb="FFCFDD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 Capstone.xlsx]Pivot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Profit By Country</a:t>
            </a:r>
          </a:p>
        </c:rich>
      </c:tx>
      <c:layout>
        <c:manualLayout>
          <c:xMode val="edge"/>
          <c:yMode val="edge"/>
          <c:x val="0.35155963302752291"/>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Analysis'!$G$7</c:f>
              <c:strCache>
                <c:ptCount val="1"/>
                <c:pt idx="0">
                  <c:v>Total</c:v>
                </c:pt>
              </c:strCache>
            </c:strRef>
          </c:tx>
          <c:spPr>
            <a:solidFill>
              <a:schemeClr val="accent5">
                <a:lumMod val="75000"/>
              </a:schemeClr>
            </a:solidFill>
            <a:ln>
              <a:noFill/>
            </a:ln>
            <a:effectLst/>
          </c:spPr>
          <c:invertIfNegative val="0"/>
          <c:cat>
            <c:strRef>
              <c:f>'Pivot Analysis'!$F$8:$F$22</c:f>
              <c:strCache>
                <c:ptCount val="14"/>
                <c:pt idx="0">
                  <c:v>UK</c:v>
                </c:pt>
                <c:pt idx="1">
                  <c:v>Canada</c:v>
                </c:pt>
                <c:pt idx="2">
                  <c:v>Zimbabwe</c:v>
                </c:pt>
                <c:pt idx="3">
                  <c:v>Kenya</c:v>
                </c:pt>
                <c:pt idx="4">
                  <c:v>Nigeria</c:v>
                </c:pt>
                <c:pt idx="5">
                  <c:v>Australia</c:v>
                </c:pt>
                <c:pt idx="6">
                  <c:v>Uganda</c:v>
                </c:pt>
                <c:pt idx="7">
                  <c:v>USA</c:v>
                </c:pt>
                <c:pt idx="8">
                  <c:v>Philippines</c:v>
                </c:pt>
                <c:pt idx="9">
                  <c:v>Ghana</c:v>
                </c:pt>
                <c:pt idx="10">
                  <c:v>Cyprus</c:v>
                </c:pt>
                <c:pt idx="11">
                  <c:v>Germany</c:v>
                </c:pt>
                <c:pt idx="12">
                  <c:v>India</c:v>
                </c:pt>
                <c:pt idx="13">
                  <c:v>Albania</c:v>
                </c:pt>
              </c:strCache>
            </c:strRef>
          </c:cat>
          <c:val>
            <c:numRef>
              <c:f>'Pivot Analysis'!$G$8:$G$22</c:f>
              <c:numCache>
                <c:formatCode>[$₦-468]\ #,##0</c:formatCode>
                <c:ptCount val="14"/>
                <c:pt idx="0">
                  <c:v>1191100</c:v>
                </c:pt>
                <c:pt idx="1">
                  <c:v>1166900</c:v>
                </c:pt>
                <c:pt idx="2">
                  <c:v>1151200</c:v>
                </c:pt>
                <c:pt idx="3">
                  <c:v>1125000</c:v>
                </c:pt>
                <c:pt idx="4">
                  <c:v>1120500</c:v>
                </c:pt>
                <c:pt idx="5">
                  <c:v>1064900</c:v>
                </c:pt>
                <c:pt idx="6">
                  <c:v>1035200</c:v>
                </c:pt>
                <c:pt idx="7">
                  <c:v>1034800</c:v>
                </c:pt>
                <c:pt idx="8">
                  <c:v>1016200</c:v>
                </c:pt>
                <c:pt idx="9">
                  <c:v>979400</c:v>
                </c:pt>
                <c:pt idx="10">
                  <c:v>852100</c:v>
                </c:pt>
                <c:pt idx="11">
                  <c:v>820100</c:v>
                </c:pt>
                <c:pt idx="12">
                  <c:v>812200</c:v>
                </c:pt>
                <c:pt idx="13">
                  <c:v>785900</c:v>
                </c:pt>
              </c:numCache>
            </c:numRef>
          </c:val>
          <c:extLst>
            <c:ext xmlns:c16="http://schemas.microsoft.com/office/drawing/2014/chart" uri="{C3380CC4-5D6E-409C-BE32-E72D297353CC}">
              <c16:uniqueId val="{00000000-E450-46B0-8A24-76A88685E776}"/>
            </c:ext>
          </c:extLst>
        </c:ser>
        <c:dLbls>
          <c:showLegendKey val="0"/>
          <c:showVal val="0"/>
          <c:showCatName val="0"/>
          <c:showSerName val="0"/>
          <c:showPercent val="0"/>
          <c:showBubbleSize val="0"/>
        </c:dLbls>
        <c:gapWidth val="182"/>
        <c:axId val="1455412304"/>
        <c:axId val="1455414384"/>
      </c:barChart>
      <c:catAx>
        <c:axId val="1455412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414384"/>
        <c:crosses val="autoZero"/>
        <c:auto val="1"/>
        <c:lblAlgn val="ctr"/>
        <c:lblOffset val="100"/>
        <c:noMultiLvlLbl val="0"/>
      </c:catAx>
      <c:valAx>
        <c:axId val="1455414384"/>
        <c:scaling>
          <c:orientation val="minMax"/>
          <c:max val="1200000"/>
          <c:min val="0"/>
        </c:scaling>
        <c:delete val="0"/>
        <c:axPos val="b"/>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412304"/>
        <c:crosses val="autoZero"/>
        <c:crossBetween val="between"/>
        <c:majorUnit val="500000"/>
        <c:minorUnit val="2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 Capstone.xlsx]Pivot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Revenue</a:t>
            </a:r>
            <a:r>
              <a:rPr lang="en-US" sz="1200" baseline="0"/>
              <a:t> By Product</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Analysis'!$K$7</c:f>
              <c:strCache>
                <c:ptCount val="1"/>
                <c:pt idx="0">
                  <c:v>Total</c:v>
                </c:pt>
              </c:strCache>
            </c:strRef>
          </c:tx>
          <c:spPr>
            <a:solidFill>
              <a:schemeClr val="accent5">
                <a:lumMod val="75000"/>
              </a:schemeClr>
            </a:solidFill>
            <a:ln>
              <a:no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Analysis'!$J$8:$J$16</c:f>
              <c:strCache>
                <c:ptCount val="8"/>
                <c:pt idx="0">
                  <c:v>Monk Straps</c:v>
                </c:pt>
                <c:pt idx="1">
                  <c:v>Derby</c:v>
                </c:pt>
                <c:pt idx="2">
                  <c:v>Oxford</c:v>
                </c:pt>
                <c:pt idx="3">
                  <c:v>Brogues</c:v>
                </c:pt>
                <c:pt idx="4">
                  <c:v>Boots</c:v>
                </c:pt>
                <c:pt idx="5">
                  <c:v>Canvas</c:v>
                </c:pt>
                <c:pt idx="6">
                  <c:v>Loafers</c:v>
                </c:pt>
                <c:pt idx="7">
                  <c:v>Slippers</c:v>
                </c:pt>
              </c:strCache>
            </c:strRef>
          </c:cat>
          <c:val>
            <c:numRef>
              <c:f>'Pivot Analysis'!$K$8:$K$16</c:f>
              <c:numCache>
                <c:formatCode>[$₦-468]\ #,##0</c:formatCode>
                <c:ptCount val="8"/>
                <c:pt idx="0">
                  <c:v>62057800</c:v>
                </c:pt>
                <c:pt idx="1">
                  <c:v>53660400</c:v>
                </c:pt>
                <c:pt idx="2">
                  <c:v>52999600</c:v>
                </c:pt>
                <c:pt idx="3">
                  <c:v>45492200</c:v>
                </c:pt>
                <c:pt idx="4">
                  <c:v>35628500</c:v>
                </c:pt>
                <c:pt idx="5">
                  <c:v>31233500</c:v>
                </c:pt>
                <c:pt idx="6">
                  <c:v>30745500</c:v>
                </c:pt>
                <c:pt idx="7">
                  <c:v>26716000</c:v>
                </c:pt>
              </c:numCache>
            </c:numRef>
          </c:val>
          <c:extLst>
            <c:ext xmlns:c16="http://schemas.microsoft.com/office/drawing/2014/chart" uri="{C3380CC4-5D6E-409C-BE32-E72D297353CC}">
              <c16:uniqueId val="{00000000-E2E5-47E9-B30A-3C2C9F1AECCA}"/>
            </c:ext>
          </c:extLst>
        </c:ser>
        <c:dLbls>
          <c:dLblPos val="outEnd"/>
          <c:showLegendKey val="0"/>
          <c:showVal val="1"/>
          <c:showCatName val="0"/>
          <c:showSerName val="0"/>
          <c:showPercent val="0"/>
          <c:showBubbleSize val="0"/>
        </c:dLbls>
        <c:gapWidth val="182"/>
        <c:axId val="1591448144"/>
        <c:axId val="1591428592"/>
      </c:barChart>
      <c:catAx>
        <c:axId val="1591448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428592"/>
        <c:crosses val="autoZero"/>
        <c:auto val="1"/>
        <c:lblAlgn val="ctr"/>
        <c:lblOffset val="100"/>
        <c:noMultiLvlLbl val="0"/>
      </c:catAx>
      <c:valAx>
        <c:axId val="1591428592"/>
        <c:scaling>
          <c:orientation val="minMax"/>
        </c:scaling>
        <c:delete val="1"/>
        <c:axPos val="b"/>
        <c:numFmt formatCode="[$₦-468]\ #,##0" sourceLinked="1"/>
        <c:majorTickMark val="out"/>
        <c:minorTickMark val="none"/>
        <c:tickLblPos val="nextTo"/>
        <c:crossAx val="1591448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 Capstone.xlsx]Pivot 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Category</a:t>
            </a:r>
            <a:r>
              <a:rPr lang="en-US" sz="1200" baseline="0"/>
              <a:t> contribution to Revenue</a:t>
            </a:r>
            <a:endParaRPr lang="en-US" sz="1200"/>
          </a:p>
        </c:rich>
      </c:tx>
      <c:layout>
        <c:manualLayout>
          <c:xMode val="edge"/>
          <c:yMode val="edge"/>
          <c:x val="0.2022701086414830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300000" spcFirstLastPara="1" vertOverflow="overflow" horzOverflow="overflow" vert="horz" wrap="square" lIns="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5">
              <a:lumMod val="75000"/>
            </a:schemeClr>
          </a:solidFill>
          <a:ln w="19050">
            <a:solidFill>
              <a:schemeClr val="lt1"/>
            </a:solidFill>
          </a:ln>
          <a:effectLst/>
        </c:spPr>
        <c:dLbl>
          <c:idx val="0"/>
          <c:layout>
            <c:manualLayout>
              <c:x val="0.15189873417721519"/>
              <c:y val="3.7037037037037035E-2"/>
            </c:manualLayout>
          </c:layout>
          <c:spPr>
            <a:noFill/>
            <a:ln>
              <a:noFill/>
            </a:ln>
            <a:effectLst/>
          </c:spPr>
          <c:txPr>
            <a:bodyPr rot="300000" spcFirstLastPara="1" vertOverflow="overflow" horzOverflow="overflow" vert="horz" wrap="square" lIns="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5">
              <a:lumMod val="50000"/>
            </a:schemeClr>
          </a:solidFill>
          <a:ln w="19050">
            <a:solidFill>
              <a:schemeClr val="lt1"/>
            </a:solidFill>
          </a:ln>
          <a:effectLst/>
        </c:spPr>
        <c:dLbl>
          <c:idx val="0"/>
          <c:layout>
            <c:manualLayout>
              <c:x val="-0.15490140390685392"/>
              <c:y val="-6.1647301430873838E-2"/>
            </c:manualLayout>
          </c:layout>
          <c:spPr>
            <a:noFill/>
            <a:ln>
              <a:noFill/>
            </a:ln>
            <a:effectLst/>
          </c:spPr>
          <c:txPr>
            <a:bodyPr rot="300000" spcFirstLastPara="1" vertOverflow="overflow" horzOverflow="overflow" vert="horz" wrap="square" lIns="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5">
              <a:lumMod val="60000"/>
              <a:lumOff val="40000"/>
            </a:schemeClr>
          </a:solidFill>
          <a:ln w="19050">
            <a:solidFill>
              <a:schemeClr val="lt1"/>
            </a:solidFill>
          </a:ln>
          <a:effectLst/>
        </c:spPr>
        <c:dLbl>
          <c:idx val="0"/>
          <c:layout>
            <c:manualLayout>
              <c:x val="-0.1713277515434117"/>
              <c:y val="-8.8205516698916069E-3"/>
            </c:manualLayout>
          </c:layout>
          <c:spPr>
            <a:noFill/>
            <a:ln>
              <a:noFill/>
            </a:ln>
            <a:effectLst/>
          </c:spPr>
          <c:txPr>
            <a:bodyPr rot="300000" spcFirstLastPara="1" vertOverflow="overflow" horzOverflow="overflow" vert="horz" wrap="square" lIns="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solidFill>
          <a:ln w="19050">
            <a:solidFill>
              <a:schemeClr val="lt1"/>
            </a:solidFill>
          </a:ln>
          <a:effectLst/>
        </c:spPr>
        <c:dLbl>
          <c:idx val="0"/>
          <c:layout>
            <c:manualLayout>
              <c:x val="-0.1451476793248945"/>
              <c:y val="1.3888888888888805E-2"/>
            </c:manualLayout>
          </c:layout>
          <c:spPr>
            <a:noFill/>
            <a:ln>
              <a:noFill/>
            </a:ln>
            <a:effectLst/>
          </c:spPr>
          <c:txPr>
            <a:bodyPr rot="300000" spcFirstLastPara="1" vertOverflow="overflow" horzOverflow="overflow" vert="horz" wrap="square" lIns="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doughnutChart>
        <c:varyColors val="1"/>
        <c:ser>
          <c:idx val="0"/>
          <c:order val="0"/>
          <c:tx>
            <c:strRef>
              <c:f>'Pivot Analysis'!$S$7</c:f>
              <c:strCache>
                <c:ptCount val="1"/>
                <c:pt idx="0">
                  <c:v>Total</c:v>
                </c:pt>
              </c:strCache>
            </c:strRef>
          </c:tx>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2-24A4-4D33-B433-164A284667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24A4-4D33-B433-164A284667CB}"/>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4-24A4-4D33-B433-164A284667CB}"/>
              </c:ext>
            </c:extLst>
          </c:dPt>
          <c:dPt>
            <c:idx val="3"/>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24A4-4D33-B433-164A284667CB}"/>
              </c:ext>
            </c:extLst>
          </c:dPt>
          <c:dLbls>
            <c:dLbl>
              <c:idx val="0"/>
              <c:layout>
                <c:manualLayout>
                  <c:x val="0.15189873417721519"/>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4A4-4D33-B433-164A284667CB}"/>
                </c:ext>
              </c:extLst>
            </c:dLbl>
            <c:dLbl>
              <c:idx val="1"/>
              <c:layout>
                <c:manualLayout>
                  <c:x val="-0.1451476793248945"/>
                  <c:y val="1.38888888888888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4A4-4D33-B433-164A284667CB}"/>
                </c:ext>
              </c:extLst>
            </c:dLbl>
            <c:dLbl>
              <c:idx val="2"/>
              <c:layout>
                <c:manualLayout>
                  <c:x val="-0.1713277515434117"/>
                  <c:y val="-8.820551669891606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4A4-4D33-B433-164A284667CB}"/>
                </c:ext>
              </c:extLst>
            </c:dLbl>
            <c:dLbl>
              <c:idx val="3"/>
              <c:layout>
                <c:manualLayout>
                  <c:x val="-0.15490140390685392"/>
                  <c:y val="-6.16473014308738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4A4-4D33-B433-164A284667CB}"/>
                </c:ext>
              </c:extLst>
            </c:dLbl>
            <c:spPr>
              <a:noFill/>
              <a:ln>
                <a:noFill/>
              </a:ln>
              <a:effectLst/>
            </c:spPr>
            <c:txPr>
              <a:bodyPr rot="300000" spcFirstLastPara="1" vertOverflow="overflow" horzOverflow="overflow" vert="horz" wrap="square" lIns="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 Analysis'!$R$8:$R$12</c:f>
              <c:strCache>
                <c:ptCount val="4"/>
                <c:pt idx="0">
                  <c:v>Formal</c:v>
                </c:pt>
                <c:pt idx="1">
                  <c:v>Casual</c:v>
                </c:pt>
                <c:pt idx="2">
                  <c:v>Utility</c:v>
                </c:pt>
                <c:pt idx="3">
                  <c:v>Open</c:v>
                </c:pt>
              </c:strCache>
            </c:strRef>
          </c:cat>
          <c:val>
            <c:numRef>
              <c:f>'Pivot Analysis'!$S$8:$S$12</c:f>
              <c:numCache>
                <c:formatCode>[$₦-468]\ #,##0</c:formatCode>
                <c:ptCount val="4"/>
                <c:pt idx="0">
                  <c:v>214210000</c:v>
                </c:pt>
                <c:pt idx="1">
                  <c:v>61979000</c:v>
                </c:pt>
                <c:pt idx="2">
                  <c:v>35628500</c:v>
                </c:pt>
                <c:pt idx="3">
                  <c:v>26716000</c:v>
                </c:pt>
              </c:numCache>
            </c:numRef>
          </c:val>
          <c:extLst>
            <c:ext xmlns:c16="http://schemas.microsoft.com/office/drawing/2014/chart" uri="{C3380CC4-5D6E-409C-BE32-E72D297353CC}">
              <c16:uniqueId val="{00000000-24A4-4D33-B433-164A284667C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 Capstone.xlsx]Pivot 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Brand</a:t>
            </a:r>
            <a:r>
              <a:rPr lang="en-US" baseline="0"/>
              <a:t> Quantity Sold</a:t>
            </a:r>
            <a:endParaRPr lang="en-US"/>
          </a:p>
        </c:rich>
      </c:tx>
      <c:layout>
        <c:manualLayout>
          <c:xMode val="edge"/>
          <c:yMode val="edge"/>
          <c:x val="0.33336111111111111"/>
          <c:y val="6.4814814814814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Analysis'!$W$7</c:f>
              <c:strCache>
                <c:ptCount val="1"/>
                <c:pt idx="0">
                  <c:v>Total</c:v>
                </c:pt>
              </c:strCache>
            </c:strRef>
          </c:tx>
          <c:spPr>
            <a:solidFill>
              <a:schemeClr val="accent5">
                <a:lumMod val="75000"/>
              </a:schemeClr>
            </a:solidFill>
            <a:ln>
              <a:noFill/>
            </a:ln>
            <a:effectLst/>
          </c:spPr>
          <c:invertIfNegative val="0"/>
          <c:cat>
            <c:strRef>
              <c:f>'Pivot Analysis'!$V$8:$V$13</c:f>
              <c:strCache>
                <c:ptCount val="5"/>
                <c:pt idx="0">
                  <c:v>Steve Madden</c:v>
                </c:pt>
                <c:pt idx="1">
                  <c:v>Timberland</c:v>
                </c:pt>
                <c:pt idx="2">
                  <c:v>Nike</c:v>
                </c:pt>
                <c:pt idx="3">
                  <c:v>Zara</c:v>
                </c:pt>
                <c:pt idx="4">
                  <c:v>Clarks</c:v>
                </c:pt>
              </c:strCache>
            </c:strRef>
          </c:cat>
          <c:val>
            <c:numRef>
              <c:f>'Pivot Analysis'!$W$8:$W$13</c:f>
              <c:numCache>
                <c:formatCode>#,##0</c:formatCode>
                <c:ptCount val="5"/>
                <c:pt idx="0">
                  <c:v>522</c:v>
                </c:pt>
                <c:pt idx="1">
                  <c:v>553</c:v>
                </c:pt>
                <c:pt idx="2">
                  <c:v>614</c:v>
                </c:pt>
                <c:pt idx="3">
                  <c:v>924</c:v>
                </c:pt>
                <c:pt idx="4">
                  <c:v>1212</c:v>
                </c:pt>
              </c:numCache>
            </c:numRef>
          </c:val>
          <c:extLst>
            <c:ext xmlns:c16="http://schemas.microsoft.com/office/drawing/2014/chart" uri="{C3380CC4-5D6E-409C-BE32-E72D297353CC}">
              <c16:uniqueId val="{00000000-F50F-4381-BD09-2A496D5B23A1}"/>
            </c:ext>
          </c:extLst>
        </c:ser>
        <c:dLbls>
          <c:showLegendKey val="0"/>
          <c:showVal val="0"/>
          <c:showCatName val="0"/>
          <c:showSerName val="0"/>
          <c:showPercent val="0"/>
          <c:showBubbleSize val="0"/>
        </c:dLbls>
        <c:gapWidth val="219"/>
        <c:overlap val="-27"/>
        <c:axId val="1591482256"/>
        <c:axId val="1591488080"/>
      </c:barChart>
      <c:catAx>
        <c:axId val="159148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488080"/>
        <c:crosses val="autoZero"/>
        <c:auto val="1"/>
        <c:lblAlgn val="ctr"/>
        <c:lblOffset val="100"/>
        <c:noMultiLvlLbl val="0"/>
      </c:catAx>
      <c:valAx>
        <c:axId val="1591488080"/>
        <c:scaling>
          <c:orientation val="minMax"/>
          <c:max val="1400"/>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482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 Capstone.xlsx]Pivot 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Revenue</a:t>
            </a:r>
            <a:r>
              <a:rPr lang="en-US" sz="1200" baseline="0"/>
              <a:t> By Premium Vs Standard Product</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lumMod val="75000"/>
            </a:schemeClr>
          </a:solidFill>
          <a:ln w="19050">
            <a:solidFill>
              <a:schemeClr val="lt1"/>
            </a:solidFill>
          </a:ln>
          <a:effectLst/>
        </c:spPr>
        <c:dLbl>
          <c:idx val="0"/>
          <c:layout>
            <c:manualLayout>
              <c:x val="7.1905763563225256E-2"/>
              <c:y val="1.406441541746057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268460192475945"/>
              <c:y val="2.4105059784193642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Analysis'!$AA$7</c:f>
              <c:strCache>
                <c:ptCount val="1"/>
                <c:pt idx="0">
                  <c:v>Total</c:v>
                </c:pt>
              </c:strCache>
            </c:strRef>
          </c:tx>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2-EDD0-4E72-814A-8B3A9307F3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D0-4E72-814A-8B3A9307F3C9}"/>
              </c:ext>
            </c:extLst>
          </c:dPt>
          <c:dLbls>
            <c:dLbl>
              <c:idx val="0"/>
              <c:layout>
                <c:manualLayout>
                  <c:x val="7.1905763563225256E-2"/>
                  <c:y val="1.406441541746057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DD0-4E72-814A-8B3A9307F3C9}"/>
                </c:ext>
              </c:extLst>
            </c:dLbl>
            <c:dLbl>
              <c:idx val="1"/>
              <c:layout>
                <c:manualLayout>
                  <c:x val="-0.10268460192475945"/>
                  <c:y val="2.410505978419364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DD0-4E72-814A-8B3A9307F3C9}"/>
                </c:ext>
              </c:extLst>
            </c:dLbl>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Analysis'!$Z$8:$Z$10</c:f>
              <c:strCache>
                <c:ptCount val="2"/>
                <c:pt idx="0">
                  <c:v>Premium</c:v>
                </c:pt>
                <c:pt idx="1">
                  <c:v>Standard</c:v>
                </c:pt>
              </c:strCache>
            </c:strRef>
          </c:cat>
          <c:val>
            <c:numRef>
              <c:f>'Pivot Analysis'!$AA$8:$AA$10</c:f>
              <c:numCache>
                <c:formatCode>[$₦-468]\ #,##0</c:formatCode>
                <c:ptCount val="2"/>
                <c:pt idx="0">
                  <c:v>186690400</c:v>
                </c:pt>
                <c:pt idx="1">
                  <c:v>151843100</c:v>
                </c:pt>
              </c:numCache>
            </c:numRef>
          </c:val>
          <c:extLst>
            <c:ext xmlns:c16="http://schemas.microsoft.com/office/drawing/2014/chart" uri="{C3380CC4-5D6E-409C-BE32-E72D297353CC}">
              <c16:uniqueId val="{00000000-EDD0-4E72-814A-8B3A9307F3C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 Capstone.xlsx]Pivot Analysis!PivotTable11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Analysis'!$C$7</c:f>
              <c:strCache>
                <c:ptCount val="1"/>
                <c:pt idx="0">
                  <c:v>Total</c:v>
                </c:pt>
              </c:strCache>
            </c:strRef>
          </c:tx>
          <c:spPr>
            <a:solidFill>
              <a:schemeClr val="accent5">
                <a:lumMod val="75000"/>
              </a:schemeClr>
            </a:solidFill>
            <a:ln>
              <a:noFill/>
            </a:ln>
            <a:effectLst/>
          </c:spPr>
          <c:invertIfNegative val="0"/>
          <c:cat>
            <c:strRef>
              <c:f>'Pivot Analysis'!$B$8:$B$22</c:f>
              <c:strCache>
                <c:ptCount val="14"/>
                <c:pt idx="0">
                  <c:v>Uganda</c:v>
                </c:pt>
                <c:pt idx="1">
                  <c:v>UK</c:v>
                </c:pt>
                <c:pt idx="2">
                  <c:v>Kenya</c:v>
                </c:pt>
                <c:pt idx="3">
                  <c:v>Philippines</c:v>
                </c:pt>
                <c:pt idx="4">
                  <c:v>Zimbabwe</c:v>
                </c:pt>
                <c:pt idx="5">
                  <c:v>USA</c:v>
                </c:pt>
                <c:pt idx="6">
                  <c:v>Ghana</c:v>
                </c:pt>
                <c:pt idx="7">
                  <c:v>Cyprus</c:v>
                </c:pt>
                <c:pt idx="8">
                  <c:v>Nigeria</c:v>
                </c:pt>
                <c:pt idx="9">
                  <c:v>India</c:v>
                </c:pt>
                <c:pt idx="10">
                  <c:v>Albania</c:v>
                </c:pt>
                <c:pt idx="11">
                  <c:v>Canada</c:v>
                </c:pt>
                <c:pt idx="12">
                  <c:v>Australia</c:v>
                </c:pt>
                <c:pt idx="13">
                  <c:v>Germany</c:v>
                </c:pt>
              </c:strCache>
            </c:strRef>
          </c:cat>
          <c:val>
            <c:numRef>
              <c:f>'Pivot Analysis'!$C$8:$C$22</c:f>
              <c:numCache>
                <c:formatCode>[$₦-468]\ #,##0</c:formatCode>
                <c:ptCount val="14"/>
                <c:pt idx="0">
                  <c:v>29283200</c:v>
                </c:pt>
                <c:pt idx="1">
                  <c:v>28419100</c:v>
                </c:pt>
                <c:pt idx="2">
                  <c:v>26676000</c:v>
                </c:pt>
                <c:pt idx="3">
                  <c:v>25040200</c:v>
                </c:pt>
                <c:pt idx="4">
                  <c:v>24937200</c:v>
                </c:pt>
                <c:pt idx="5">
                  <c:v>24743800</c:v>
                </c:pt>
                <c:pt idx="6">
                  <c:v>24377400</c:v>
                </c:pt>
                <c:pt idx="7">
                  <c:v>24263100</c:v>
                </c:pt>
                <c:pt idx="8">
                  <c:v>23010500</c:v>
                </c:pt>
                <c:pt idx="9">
                  <c:v>22482200</c:v>
                </c:pt>
                <c:pt idx="10">
                  <c:v>22206900</c:v>
                </c:pt>
                <c:pt idx="11">
                  <c:v>21397900</c:v>
                </c:pt>
                <c:pt idx="12">
                  <c:v>21209900</c:v>
                </c:pt>
                <c:pt idx="13">
                  <c:v>20486100</c:v>
                </c:pt>
              </c:numCache>
            </c:numRef>
          </c:val>
          <c:extLst>
            <c:ext xmlns:c16="http://schemas.microsoft.com/office/drawing/2014/chart" uri="{C3380CC4-5D6E-409C-BE32-E72D297353CC}">
              <c16:uniqueId val="{00000000-A643-45F3-9A16-BCF6A4A21994}"/>
            </c:ext>
          </c:extLst>
        </c:ser>
        <c:dLbls>
          <c:showLegendKey val="0"/>
          <c:showVal val="0"/>
          <c:showCatName val="0"/>
          <c:showSerName val="0"/>
          <c:showPercent val="0"/>
          <c:showBubbleSize val="0"/>
        </c:dLbls>
        <c:gapWidth val="219"/>
        <c:overlap val="-27"/>
        <c:axId val="273392783"/>
        <c:axId val="273396111"/>
      </c:barChart>
      <c:catAx>
        <c:axId val="27339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396111"/>
        <c:crosses val="autoZero"/>
        <c:auto val="1"/>
        <c:lblAlgn val="ctr"/>
        <c:lblOffset val="100"/>
        <c:noMultiLvlLbl val="0"/>
      </c:catAx>
      <c:valAx>
        <c:axId val="273396111"/>
        <c:scaling>
          <c:orientation val="minMax"/>
          <c:max val="25000000"/>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392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 Capstone.xlsx]Pivot 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Revenue</a:t>
            </a:r>
            <a:r>
              <a:rPr lang="en-US" sz="1400" baseline="0"/>
              <a:t> By Product</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Analysis'!$K$7</c:f>
              <c:strCache>
                <c:ptCount val="1"/>
                <c:pt idx="0">
                  <c:v>Total</c:v>
                </c:pt>
              </c:strCache>
            </c:strRef>
          </c:tx>
          <c:spPr>
            <a:solidFill>
              <a:schemeClr val="accent5">
                <a:lumMod val="75000"/>
              </a:schemeClr>
            </a:solidFill>
            <a:ln>
              <a:no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Analysis'!$J$8:$J$16</c:f>
              <c:strCache>
                <c:ptCount val="8"/>
                <c:pt idx="0">
                  <c:v>Monk Straps</c:v>
                </c:pt>
                <c:pt idx="1">
                  <c:v>Derby</c:v>
                </c:pt>
                <c:pt idx="2">
                  <c:v>Oxford</c:v>
                </c:pt>
                <c:pt idx="3">
                  <c:v>Brogues</c:v>
                </c:pt>
                <c:pt idx="4">
                  <c:v>Boots</c:v>
                </c:pt>
                <c:pt idx="5">
                  <c:v>Canvas</c:v>
                </c:pt>
                <c:pt idx="6">
                  <c:v>Loafers</c:v>
                </c:pt>
                <c:pt idx="7">
                  <c:v>Slippers</c:v>
                </c:pt>
              </c:strCache>
            </c:strRef>
          </c:cat>
          <c:val>
            <c:numRef>
              <c:f>'Pivot Analysis'!$K$8:$K$16</c:f>
              <c:numCache>
                <c:formatCode>[$₦-468]\ #,##0</c:formatCode>
                <c:ptCount val="8"/>
                <c:pt idx="0">
                  <c:v>62057800</c:v>
                </c:pt>
                <c:pt idx="1">
                  <c:v>53660400</c:v>
                </c:pt>
                <c:pt idx="2">
                  <c:v>52999600</c:v>
                </c:pt>
                <c:pt idx="3">
                  <c:v>45492200</c:v>
                </c:pt>
                <c:pt idx="4">
                  <c:v>35628500</c:v>
                </c:pt>
                <c:pt idx="5">
                  <c:v>31233500</c:v>
                </c:pt>
                <c:pt idx="6">
                  <c:v>30745500</c:v>
                </c:pt>
                <c:pt idx="7">
                  <c:v>26716000</c:v>
                </c:pt>
              </c:numCache>
            </c:numRef>
          </c:val>
          <c:extLst>
            <c:ext xmlns:c16="http://schemas.microsoft.com/office/drawing/2014/chart" uri="{C3380CC4-5D6E-409C-BE32-E72D297353CC}">
              <c16:uniqueId val="{00000000-843D-45B7-936B-8446337B8C69}"/>
            </c:ext>
          </c:extLst>
        </c:ser>
        <c:dLbls>
          <c:dLblPos val="outEnd"/>
          <c:showLegendKey val="0"/>
          <c:showVal val="1"/>
          <c:showCatName val="0"/>
          <c:showSerName val="0"/>
          <c:showPercent val="0"/>
          <c:showBubbleSize val="0"/>
        </c:dLbls>
        <c:gapWidth val="182"/>
        <c:axId val="1591448144"/>
        <c:axId val="1591428592"/>
      </c:barChart>
      <c:catAx>
        <c:axId val="1591448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591428592"/>
        <c:crosses val="autoZero"/>
        <c:auto val="1"/>
        <c:lblAlgn val="ctr"/>
        <c:lblOffset val="100"/>
        <c:noMultiLvlLbl val="0"/>
      </c:catAx>
      <c:valAx>
        <c:axId val="1591428592"/>
        <c:scaling>
          <c:orientation val="minMax"/>
        </c:scaling>
        <c:delete val="1"/>
        <c:axPos val="b"/>
        <c:numFmt formatCode="[$₦-468]\ #,##0" sourceLinked="1"/>
        <c:majorTickMark val="out"/>
        <c:minorTickMark val="none"/>
        <c:tickLblPos val="nextTo"/>
        <c:crossAx val="1591448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 Capstone.xlsx]Pivot 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Category</a:t>
            </a:r>
            <a:r>
              <a:rPr lang="en-US" sz="1200" baseline="0"/>
              <a:t> contribution to Revenue</a:t>
            </a:r>
            <a:endParaRPr lang="en-US" sz="1200"/>
          </a:p>
        </c:rich>
      </c:tx>
      <c:layout>
        <c:manualLayout>
          <c:xMode val="edge"/>
          <c:yMode val="edge"/>
          <c:x val="0.16840593438657106"/>
          <c:y val="5.583074151077379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300000" spcFirstLastPara="1" vertOverflow="overflow" horzOverflow="overflow" vert="horz" wrap="square" lIns="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w="19050">
            <a:solidFill>
              <a:schemeClr val="lt1"/>
            </a:solidFill>
          </a:ln>
          <a:effectLst/>
        </c:spPr>
        <c:dLbl>
          <c:idx val="0"/>
          <c:layout>
            <c:manualLayout>
              <c:x val="0.15189873417721519"/>
              <c:y val="3.7037037037037035E-2"/>
            </c:manualLayout>
          </c:layout>
          <c:spPr>
            <a:noFill/>
            <a:ln>
              <a:noFill/>
            </a:ln>
            <a:effectLst/>
          </c:spPr>
          <c:txPr>
            <a:bodyPr rot="300000" spcFirstLastPara="1" vertOverflow="overflow" horzOverflow="overflow" vert="horz" wrap="square" lIns="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5">
              <a:lumMod val="50000"/>
            </a:schemeClr>
          </a:solidFill>
          <a:ln w="19050">
            <a:solidFill>
              <a:schemeClr val="lt1"/>
            </a:solidFill>
          </a:ln>
          <a:effectLst/>
        </c:spPr>
        <c:dLbl>
          <c:idx val="0"/>
          <c:layout>
            <c:manualLayout>
              <c:x val="-0.15490140390685392"/>
              <c:y val="-6.1647301430873838E-2"/>
            </c:manualLayout>
          </c:layout>
          <c:spPr>
            <a:noFill/>
            <a:ln>
              <a:noFill/>
            </a:ln>
            <a:effectLst/>
          </c:spPr>
          <c:txPr>
            <a:bodyPr rot="300000" spcFirstLastPara="1" vertOverflow="overflow" horzOverflow="overflow" vert="horz" wrap="square" lIns="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5">
              <a:lumMod val="60000"/>
              <a:lumOff val="40000"/>
            </a:schemeClr>
          </a:solidFill>
          <a:ln w="19050">
            <a:solidFill>
              <a:schemeClr val="lt1"/>
            </a:solidFill>
          </a:ln>
          <a:effectLst/>
        </c:spPr>
        <c:dLbl>
          <c:idx val="0"/>
          <c:layout>
            <c:manualLayout>
              <c:x val="-0.1713277515434117"/>
              <c:y val="-8.8205516698916069E-3"/>
            </c:manualLayout>
          </c:layout>
          <c:spPr>
            <a:noFill/>
            <a:ln>
              <a:noFill/>
            </a:ln>
            <a:effectLst/>
          </c:spPr>
          <c:txPr>
            <a:bodyPr rot="300000" spcFirstLastPara="1" vertOverflow="overflow" horzOverflow="overflow" vert="horz" wrap="square" lIns="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2"/>
          </a:solidFill>
          <a:ln w="19050">
            <a:solidFill>
              <a:schemeClr val="lt1"/>
            </a:solidFill>
          </a:ln>
          <a:effectLst/>
        </c:spPr>
        <c:dLbl>
          <c:idx val="0"/>
          <c:layout>
            <c:manualLayout>
              <c:x val="-0.1451476793248945"/>
              <c:y val="1.3888888888888805E-2"/>
            </c:manualLayout>
          </c:layout>
          <c:spPr>
            <a:noFill/>
            <a:ln>
              <a:noFill/>
            </a:ln>
            <a:effectLst/>
          </c:spPr>
          <c:txPr>
            <a:bodyPr rot="300000" spcFirstLastPara="1" vertOverflow="overflow" horzOverflow="overflow" vert="horz" wrap="square" lIns="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300000" spcFirstLastPara="1" vertOverflow="overflow" horzOverflow="overflow" vert="horz" wrap="square" lIns="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w="19050">
            <a:solidFill>
              <a:schemeClr val="lt1"/>
            </a:solidFill>
          </a:ln>
          <a:effectLst/>
        </c:spPr>
        <c:dLbl>
          <c:idx val="0"/>
          <c:layout>
            <c:manualLayout>
              <c:x val="0.15189873417721519"/>
              <c:y val="3.7037037037037035E-2"/>
            </c:manualLayout>
          </c:layout>
          <c:spPr>
            <a:noFill/>
            <a:ln>
              <a:noFill/>
            </a:ln>
            <a:effectLst/>
          </c:spPr>
          <c:txPr>
            <a:bodyPr rot="300000" spcFirstLastPara="1" vertOverflow="overflow" horzOverflow="overflow" vert="horz" wrap="square" lIns="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w="19050">
            <a:solidFill>
              <a:schemeClr val="lt1"/>
            </a:solidFill>
          </a:ln>
          <a:effectLst/>
        </c:spPr>
        <c:dLbl>
          <c:idx val="0"/>
          <c:layout>
            <c:manualLayout>
              <c:x val="-0.1451476793248945"/>
              <c:y val="1.3888888888888805E-2"/>
            </c:manualLayout>
          </c:layout>
          <c:spPr>
            <a:noFill/>
            <a:ln>
              <a:noFill/>
            </a:ln>
            <a:effectLst/>
          </c:spPr>
          <c:txPr>
            <a:bodyPr rot="300000" spcFirstLastPara="1" vertOverflow="overflow" horzOverflow="overflow" vert="horz" wrap="square" lIns="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5">
              <a:lumMod val="60000"/>
              <a:lumOff val="40000"/>
            </a:schemeClr>
          </a:solidFill>
          <a:ln w="19050">
            <a:solidFill>
              <a:schemeClr val="lt1"/>
            </a:solidFill>
          </a:ln>
          <a:effectLst/>
        </c:spPr>
        <c:dLbl>
          <c:idx val="0"/>
          <c:layout>
            <c:manualLayout>
              <c:x val="-0.1713277515434117"/>
              <c:y val="-8.8205516698916069E-3"/>
            </c:manualLayout>
          </c:layout>
          <c:spPr>
            <a:noFill/>
            <a:ln>
              <a:noFill/>
            </a:ln>
            <a:effectLst/>
          </c:spPr>
          <c:txPr>
            <a:bodyPr rot="300000" spcFirstLastPara="1" vertOverflow="overflow" horzOverflow="overflow" vert="horz" wrap="square" lIns="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5">
              <a:lumMod val="50000"/>
            </a:schemeClr>
          </a:solidFill>
          <a:ln w="19050">
            <a:solidFill>
              <a:schemeClr val="lt1"/>
            </a:solidFill>
          </a:ln>
          <a:effectLst/>
        </c:spPr>
        <c:dLbl>
          <c:idx val="0"/>
          <c:layout>
            <c:manualLayout>
              <c:x val="-0.15490140390685392"/>
              <c:y val="-6.1647301430873838E-2"/>
            </c:manualLayout>
          </c:layout>
          <c:spPr>
            <a:noFill/>
            <a:ln>
              <a:noFill/>
            </a:ln>
            <a:effectLst/>
          </c:spPr>
          <c:txPr>
            <a:bodyPr rot="300000" spcFirstLastPara="1" vertOverflow="overflow" horzOverflow="overflow" vert="horz" wrap="square" lIns="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300000" spcFirstLastPara="1" vertOverflow="overflow" horzOverflow="overflow" vert="horz" wrap="square" lIns="0" tIns="19050" rIns="38100" bIns="19050" anchor="b" anchorCtr="0">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5">
              <a:lumMod val="75000"/>
            </a:schemeClr>
          </a:solidFill>
          <a:ln w="19050">
            <a:solidFill>
              <a:schemeClr val="lt1"/>
            </a:solidFill>
          </a:ln>
          <a:effectLst/>
        </c:spPr>
        <c:dLbl>
          <c:idx val="0"/>
          <c:layout>
            <c:manualLayout>
              <c:x val="0.15189873417721519"/>
              <c:y val="3.7037037037037035E-2"/>
            </c:manualLayout>
          </c:layout>
          <c:spPr>
            <a:noFill/>
            <a:ln>
              <a:noFill/>
            </a:ln>
            <a:effectLst/>
          </c:spPr>
          <c:txPr>
            <a:bodyPr rot="300000" spcFirstLastPara="1" vertOverflow="overflow" horzOverflow="overflow" vert="horz" wrap="square" lIns="0" tIns="19050" rIns="38100" bIns="19050" anchor="b" anchorCtr="0">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1"/>
          </a:solidFill>
          <a:ln w="19050">
            <a:solidFill>
              <a:schemeClr val="lt1"/>
            </a:solidFill>
          </a:ln>
          <a:effectLst/>
        </c:spPr>
        <c:dLbl>
          <c:idx val="0"/>
          <c:layout>
            <c:manualLayout>
              <c:x val="-0.14938059315201044"/>
              <c:y val="3.6083762423417688E-2"/>
            </c:manualLayout>
          </c:layout>
          <c:spPr>
            <a:noFill/>
            <a:ln>
              <a:noFill/>
            </a:ln>
            <a:effectLst/>
          </c:spPr>
          <c:txPr>
            <a:bodyPr rot="300000" spcFirstLastPara="1" vertOverflow="overflow" horzOverflow="overflow" vert="horz" wrap="square" lIns="0" tIns="19050" rIns="38100" bIns="19050" anchor="b" anchorCtr="0">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5">
              <a:lumMod val="60000"/>
              <a:lumOff val="40000"/>
            </a:schemeClr>
          </a:solidFill>
          <a:ln w="19050">
            <a:solidFill>
              <a:schemeClr val="lt1"/>
            </a:solidFill>
          </a:ln>
          <a:effectLst/>
        </c:spPr>
        <c:dLbl>
          <c:idx val="0"/>
          <c:layout>
            <c:manualLayout>
              <c:x val="-0.1713277515434117"/>
              <c:y val="-8.8205516698916069E-3"/>
            </c:manualLayout>
          </c:layout>
          <c:spPr>
            <a:noFill/>
            <a:ln>
              <a:noFill/>
            </a:ln>
            <a:effectLst/>
          </c:spPr>
          <c:txPr>
            <a:bodyPr rot="300000" spcFirstLastPara="1" vertOverflow="overflow" horzOverflow="overflow" vert="horz" wrap="square" lIns="0" tIns="19050" rIns="38100" bIns="19050" anchor="b" anchorCtr="0">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5">
              <a:lumMod val="50000"/>
            </a:schemeClr>
          </a:solidFill>
          <a:ln w="19050">
            <a:solidFill>
              <a:schemeClr val="lt1"/>
            </a:solidFill>
          </a:ln>
          <a:effectLst/>
        </c:spPr>
        <c:dLbl>
          <c:idx val="0"/>
          <c:layout>
            <c:manualLayout>
              <c:x val="-0.15490154185925051"/>
              <c:y val="-0.11343532075005665"/>
            </c:manualLayout>
          </c:layout>
          <c:spPr>
            <a:noFill/>
            <a:ln>
              <a:noFill/>
            </a:ln>
            <a:effectLst/>
          </c:spPr>
          <c:txPr>
            <a:bodyPr rot="300000" spcFirstLastPara="1" vertOverflow="overflow" horzOverflow="overflow" vert="horz" wrap="square" lIns="0" tIns="19050" rIns="38100" bIns="19050" anchor="b" anchorCtr="0">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doughnutChart>
        <c:varyColors val="1"/>
        <c:ser>
          <c:idx val="0"/>
          <c:order val="0"/>
          <c:tx>
            <c:strRef>
              <c:f>'Pivot Analysis'!$S$7</c:f>
              <c:strCache>
                <c:ptCount val="1"/>
                <c:pt idx="0">
                  <c:v>Total</c:v>
                </c:pt>
              </c:strCache>
            </c:strRef>
          </c:tx>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08CC-4F59-8D39-B2E87292E3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CC-4F59-8D39-B2E87292E35B}"/>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08CC-4F59-8D39-B2E87292E35B}"/>
              </c:ext>
            </c:extLst>
          </c:dPt>
          <c:dPt>
            <c:idx val="3"/>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7-08CC-4F59-8D39-B2E87292E35B}"/>
              </c:ext>
            </c:extLst>
          </c:dPt>
          <c:dLbls>
            <c:dLbl>
              <c:idx val="0"/>
              <c:layout>
                <c:manualLayout>
                  <c:x val="0.15189873417721519"/>
                  <c:y val="3.70370370370370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8CC-4F59-8D39-B2E87292E35B}"/>
                </c:ext>
              </c:extLst>
            </c:dLbl>
            <c:dLbl>
              <c:idx val="1"/>
              <c:layout>
                <c:manualLayout>
                  <c:x val="-0.14938059315201044"/>
                  <c:y val="3.608376242341768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8CC-4F59-8D39-B2E87292E35B}"/>
                </c:ext>
              </c:extLst>
            </c:dLbl>
            <c:dLbl>
              <c:idx val="2"/>
              <c:layout>
                <c:manualLayout>
                  <c:x val="-0.1713277515434117"/>
                  <c:y val="-8.8205516698916069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8CC-4F59-8D39-B2E87292E35B}"/>
                </c:ext>
              </c:extLst>
            </c:dLbl>
            <c:dLbl>
              <c:idx val="3"/>
              <c:layout>
                <c:manualLayout>
                  <c:x val="-0.15490154185925051"/>
                  <c:y val="-0.1134353207500566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8CC-4F59-8D39-B2E87292E35B}"/>
                </c:ext>
              </c:extLst>
            </c:dLbl>
            <c:spPr>
              <a:noFill/>
              <a:ln>
                <a:noFill/>
              </a:ln>
              <a:effectLst/>
            </c:spPr>
            <c:txPr>
              <a:bodyPr rot="300000" spcFirstLastPara="1" vertOverflow="overflow" horzOverflow="overflow" vert="horz" wrap="square" lIns="0" tIns="19050" rIns="38100" bIns="19050" anchor="b" anchorCtr="0">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 Analysis'!$R$8:$R$12</c:f>
              <c:strCache>
                <c:ptCount val="4"/>
                <c:pt idx="0">
                  <c:v>Formal</c:v>
                </c:pt>
                <c:pt idx="1">
                  <c:v>Casual</c:v>
                </c:pt>
                <c:pt idx="2">
                  <c:v>Utility</c:v>
                </c:pt>
                <c:pt idx="3">
                  <c:v>Open</c:v>
                </c:pt>
              </c:strCache>
            </c:strRef>
          </c:cat>
          <c:val>
            <c:numRef>
              <c:f>'Pivot Analysis'!$S$8:$S$12</c:f>
              <c:numCache>
                <c:formatCode>[$₦-468]\ #,##0</c:formatCode>
                <c:ptCount val="4"/>
                <c:pt idx="0">
                  <c:v>214210000</c:v>
                </c:pt>
                <c:pt idx="1">
                  <c:v>61979000</c:v>
                </c:pt>
                <c:pt idx="2">
                  <c:v>35628500</c:v>
                </c:pt>
                <c:pt idx="3">
                  <c:v>26716000</c:v>
                </c:pt>
              </c:numCache>
            </c:numRef>
          </c:val>
          <c:extLst>
            <c:ext xmlns:c16="http://schemas.microsoft.com/office/drawing/2014/chart" uri="{C3380CC4-5D6E-409C-BE32-E72D297353CC}">
              <c16:uniqueId val="{00000008-08CC-4F59-8D39-B2E87292E35B}"/>
            </c:ext>
          </c:extLst>
        </c:ser>
        <c:dLbls>
          <c:showLegendKey val="0"/>
          <c:showVal val="1"/>
          <c:showCatName val="0"/>
          <c:showSerName val="0"/>
          <c:showPercent val="0"/>
          <c:showBubbleSize val="0"/>
          <c:showLeaderLines val="1"/>
        </c:dLbls>
        <c:firstSliceAng val="0"/>
        <c:holeSize val="68"/>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 Capstone.xlsx]Pivot Analysis!PivotTable7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Brand</a:t>
            </a:r>
            <a:r>
              <a:rPr lang="en-US" sz="1400" baseline="0"/>
              <a:t> Quantity Sold</a:t>
            </a:r>
            <a:endParaRPr lang="en-US" sz="1400"/>
          </a:p>
        </c:rich>
      </c:tx>
      <c:layout>
        <c:manualLayout>
          <c:xMode val="edge"/>
          <c:yMode val="edge"/>
          <c:x val="0.24808008624796829"/>
          <c:y val="5.01741332819944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Analysis'!$W$7</c:f>
              <c:strCache>
                <c:ptCount val="1"/>
                <c:pt idx="0">
                  <c:v>Total</c:v>
                </c:pt>
              </c:strCache>
            </c:strRef>
          </c:tx>
          <c:spPr>
            <a:solidFill>
              <a:schemeClr val="accent5">
                <a:lumMod val="75000"/>
              </a:schemeClr>
            </a:solidFill>
            <a:ln>
              <a:noFill/>
            </a:ln>
            <a:effectLst/>
          </c:spPr>
          <c:invertIfNegative val="0"/>
          <c:cat>
            <c:strRef>
              <c:f>'Pivot Analysis'!$V$8:$V$13</c:f>
              <c:strCache>
                <c:ptCount val="5"/>
                <c:pt idx="0">
                  <c:v>Steve Madden</c:v>
                </c:pt>
                <c:pt idx="1">
                  <c:v>Timberland</c:v>
                </c:pt>
                <c:pt idx="2">
                  <c:v>Nike</c:v>
                </c:pt>
                <c:pt idx="3">
                  <c:v>Zara</c:v>
                </c:pt>
                <c:pt idx="4">
                  <c:v>Clarks</c:v>
                </c:pt>
              </c:strCache>
            </c:strRef>
          </c:cat>
          <c:val>
            <c:numRef>
              <c:f>'Pivot Analysis'!$W$8:$W$13</c:f>
              <c:numCache>
                <c:formatCode>#,##0</c:formatCode>
                <c:ptCount val="5"/>
                <c:pt idx="0">
                  <c:v>522</c:v>
                </c:pt>
                <c:pt idx="1">
                  <c:v>553</c:v>
                </c:pt>
                <c:pt idx="2">
                  <c:v>614</c:v>
                </c:pt>
                <c:pt idx="3">
                  <c:v>924</c:v>
                </c:pt>
                <c:pt idx="4">
                  <c:v>1212</c:v>
                </c:pt>
              </c:numCache>
            </c:numRef>
          </c:val>
          <c:extLst>
            <c:ext xmlns:c16="http://schemas.microsoft.com/office/drawing/2014/chart" uri="{C3380CC4-5D6E-409C-BE32-E72D297353CC}">
              <c16:uniqueId val="{00000000-C64B-4DB6-ACE2-74DA53592E96}"/>
            </c:ext>
          </c:extLst>
        </c:ser>
        <c:dLbls>
          <c:showLegendKey val="0"/>
          <c:showVal val="0"/>
          <c:showCatName val="0"/>
          <c:showSerName val="0"/>
          <c:showPercent val="0"/>
          <c:showBubbleSize val="0"/>
        </c:dLbls>
        <c:gapWidth val="219"/>
        <c:overlap val="-27"/>
        <c:axId val="1591482256"/>
        <c:axId val="1591488080"/>
      </c:barChart>
      <c:catAx>
        <c:axId val="159148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591488080"/>
        <c:crosses val="autoZero"/>
        <c:auto val="1"/>
        <c:lblAlgn val="ctr"/>
        <c:lblOffset val="100"/>
        <c:noMultiLvlLbl val="0"/>
      </c:catAx>
      <c:valAx>
        <c:axId val="1591488080"/>
        <c:scaling>
          <c:orientation val="minMax"/>
          <c:max val="1400"/>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591482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 Capstone.xlsx]Pivot Analysis!PivotTable8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Revenue</a:t>
            </a:r>
            <a:r>
              <a:rPr lang="en-US" sz="1200" baseline="0"/>
              <a:t> By Premium Vs Standard Product</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lumMod val="75000"/>
            </a:schemeClr>
          </a:solidFill>
          <a:ln w="19050">
            <a:solidFill>
              <a:schemeClr val="lt1"/>
            </a:solidFill>
          </a:ln>
          <a:effectLst/>
        </c:spPr>
        <c:dLbl>
          <c:idx val="0"/>
          <c:layout>
            <c:manualLayout>
              <c:x val="-0.15833333333333333"/>
              <c:y val="-9.2592592592592587E-3"/>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0268460192475945"/>
              <c:y val="2.4105059784193642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5">
              <a:lumMod val="75000"/>
            </a:schemeClr>
          </a:solidFill>
          <a:ln w="19050">
            <a:solidFill>
              <a:schemeClr val="lt1"/>
            </a:solidFill>
          </a:ln>
          <a:effectLst/>
        </c:spPr>
        <c:dLbl>
          <c:idx val="0"/>
          <c:layout>
            <c:manualLayout>
              <c:x val="-0.15833333333333333"/>
              <c:y val="-9.2592592592592587E-3"/>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268460192475945"/>
              <c:y val="2.4105059784193642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5">
              <a:lumMod val="75000"/>
            </a:schemeClr>
          </a:solidFill>
          <a:ln w="19050">
            <a:solidFill>
              <a:schemeClr val="lt1"/>
            </a:solidFill>
          </a:ln>
          <a:effectLst/>
        </c:spPr>
        <c:dLbl>
          <c:idx val="0"/>
          <c:layout>
            <c:manualLayout>
              <c:x val="0.1878755264058608"/>
              <c:y val="0.10466887608440791"/>
            </c:manualLayout>
          </c:layout>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832978105083617"/>
              <c:y val="-0.16102865197297342"/>
            </c:manualLayout>
          </c:layout>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Analysis'!$AA$7</c:f>
              <c:strCache>
                <c:ptCount val="1"/>
                <c:pt idx="0">
                  <c:v>Total</c:v>
                </c:pt>
              </c:strCache>
            </c:strRef>
          </c:tx>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632A-456A-BBB1-BE2EC00506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2A-456A-BBB1-BE2EC00506CB}"/>
              </c:ext>
            </c:extLst>
          </c:dPt>
          <c:dLbls>
            <c:dLbl>
              <c:idx val="0"/>
              <c:layout>
                <c:manualLayout>
                  <c:x val="0.1878755264058608"/>
                  <c:y val="0.1046688760844079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32A-456A-BBB1-BE2EC00506CB}"/>
                </c:ext>
              </c:extLst>
            </c:dLbl>
            <c:dLbl>
              <c:idx val="1"/>
              <c:layout>
                <c:manualLayout>
                  <c:x val="-0.12832978105083617"/>
                  <c:y val="-0.1610286519729734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32A-456A-BBB1-BE2EC00506CB}"/>
                </c:ext>
              </c:extLst>
            </c:dLbl>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Analysis'!$Z$8:$Z$10</c:f>
              <c:strCache>
                <c:ptCount val="2"/>
                <c:pt idx="0">
                  <c:v>Premium</c:v>
                </c:pt>
                <c:pt idx="1">
                  <c:v>Standard</c:v>
                </c:pt>
              </c:strCache>
            </c:strRef>
          </c:cat>
          <c:val>
            <c:numRef>
              <c:f>'Pivot Analysis'!$AA$8:$AA$10</c:f>
              <c:numCache>
                <c:formatCode>[$₦-468]\ #,##0</c:formatCode>
                <c:ptCount val="2"/>
                <c:pt idx="0">
                  <c:v>186690400</c:v>
                </c:pt>
                <c:pt idx="1">
                  <c:v>151843100</c:v>
                </c:pt>
              </c:numCache>
            </c:numRef>
          </c:val>
          <c:extLst>
            <c:ext xmlns:c16="http://schemas.microsoft.com/office/drawing/2014/chart" uri="{C3380CC4-5D6E-409C-BE32-E72D297353CC}">
              <c16:uniqueId val="{00000004-632A-456A-BBB1-BE2EC00506CB}"/>
            </c:ext>
          </c:extLst>
        </c:ser>
        <c:dLbls>
          <c:showLegendKey val="0"/>
          <c:showVal val="1"/>
          <c:showCatName val="0"/>
          <c:showSerName val="0"/>
          <c:showPercent val="0"/>
          <c:showBubbleSize val="0"/>
          <c:showLeaderLines val="1"/>
        </c:dLbls>
        <c:firstSliceAng val="0"/>
        <c:holeSize val="5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 Capstone.xlsx]Pivot 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Profit By Country</a:t>
            </a:r>
          </a:p>
        </c:rich>
      </c:tx>
      <c:layout>
        <c:manualLayout>
          <c:xMode val="edge"/>
          <c:yMode val="edge"/>
          <c:x val="0.26182283123459593"/>
          <c:y val="4.36686678725190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75000"/>
            </a:schemeClr>
          </a:solidFill>
          <a:ln>
            <a:noFill/>
          </a:ln>
          <a:effectLst/>
        </c:spPr>
      </c:pivotFmt>
      <c:pivotFmt>
        <c:idx val="6"/>
        <c:spPr>
          <a:solidFill>
            <a:schemeClr val="accent5">
              <a:lumMod val="75000"/>
            </a:schemeClr>
          </a:solidFill>
          <a:ln>
            <a:noFill/>
          </a:ln>
          <a:effectLst/>
        </c:spPr>
      </c:pivotFmt>
      <c:pivotFmt>
        <c:idx val="7"/>
        <c:spPr>
          <a:solidFill>
            <a:schemeClr val="accent5">
              <a:lumMod val="75000"/>
            </a:schemeClr>
          </a:solidFill>
          <a:ln>
            <a:noFill/>
          </a:ln>
          <a:effectLst/>
        </c:spPr>
      </c:pivotFmt>
    </c:pivotFmts>
    <c:plotArea>
      <c:layout/>
      <c:barChart>
        <c:barDir val="bar"/>
        <c:grouping val="clustered"/>
        <c:varyColors val="0"/>
        <c:ser>
          <c:idx val="0"/>
          <c:order val="0"/>
          <c:tx>
            <c:strRef>
              <c:f>'Pivot Analysis'!$G$7</c:f>
              <c:strCache>
                <c:ptCount val="1"/>
                <c:pt idx="0">
                  <c:v>Total</c:v>
                </c:pt>
              </c:strCache>
            </c:strRef>
          </c:tx>
          <c:spPr>
            <a:solidFill>
              <a:schemeClr val="accent5">
                <a:lumMod val="75000"/>
              </a:schemeClr>
            </a:solidFill>
            <a:ln>
              <a:noFill/>
            </a:ln>
            <a:effectLst/>
          </c:spPr>
          <c:invertIfNegative val="0"/>
          <c:cat>
            <c:strRef>
              <c:f>'Pivot Analysis'!$F$8:$F$22</c:f>
              <c:strCache>
                <c:ptCount val="14"/>
                <c:pt idx="0">
                  <c:v>UK</c:v>
                </c:pt>
                <c:pt idx="1">
                  <c:v>Canada</c:v>
                </c:pt>
                <c:pt idx="2">
                  <c:v>Zimbabwe</c:v>
                </c:pt>
                <c:pt idx="3">
                  <c:v>Kenya</c:v>
                </c:pt>
                <c:pt idx="4">
                  <c:v>Nigeria</c:v>
                </c:pt>
                <c:pt idx="5">
                  <c:v>Australia</c:v>
                </c:pt>
                <c:pt idx="6">
                  <c:v>Uganda</c:v>
                </c:pt>
                <c:pt idx="7">
                  <c:v>USA</c:v>
                </c:pt>
                <c:pt idx="8">
                  <c:v>Philippines</c:v>
                </c:pt>
                <c:pt idx="9">
                  <c:v>Ghana</c:v>
                </c:pt>
                <c:pt idx="10">
                  <c:v>Cyprus</c:v>
                </c:pt>
                <c:pt idx="11">
                  <c:v>Germany</c:v>
                </c:pt>
                <c:pt idx="12">
                  <c:v>India</c:v>
                </c:pt>
                <c:pt idx="13">
                  <c:v>Albania</c:v>
                </c:pt>
              </c:strCache>
            </c:strRef>
          </c:cat>
          <c:val>
            <c:numRef>
              <c:f>'Pivot Analysis'!$G$8:$G$22</c:f>
              <c:numCache>
                <c:formatCode>[$₦-468]\ #,##0</c:formatCode>
                <c:ptCount val="14"/>
                <c:pt idx="0">
                  <c:v>1191100</c:v>
                </c:pt>
                <c:pt idx="1">
                  <c:v>1166900</c:v>
                </c:pt>
                <c:pt idx="2">
                  <c:v>1151200</c:v>
                </c:pt>
                <c:pt idx="3">
                  <c:v>1125000</c:v>
                </c:pt>
                <c:pt idx="4">
                  <c:v>1120500</c:v>
                </c:pt>
                <c:pt idx="5">
                  <c:v>1064900</c:v>
                </c:pt>
                <c:pt idx="6">
                  <c:v>1035200</c:v>
                </c:pt>
                <c:pt idx="7">
                  <c:v>1034800</c:v>
                </c:pt>
                <c:pt idx="8">
                  <c:v>1016200</c:v>
                </c:pt>
                <c:pt idx="9">
                  <c:v>979400</c:v>
                </c:pt>
                <c:pt idx="10">
                  <c:v>852100</c:v>
                </c:pt>
                <c:pt idx="11">
                  <c:v>820100</c:v>
                </c:pt>
                <c:pt idx="12">
                  <c:v>812200</c:v>
                </c:pt>
                <c:pt idx="13">
                  <c:v>785900</c:v>
                </c:pt>
              </c:numCache>
            </c:numRef>
          </c:val>
          <c:extLst>
            <c:ext xmlns:c16="http://schemas.microsoft.com/office/drawing/2014/chart" uri="{C3380CC4-5D6E-409C-BE32-E72D297353CC}">
              <c16:uniqueId val="{00000000-EE3C-4CE8-B9A7-D142CA3F6C90}"/>
            </c:ext>
          </c:extLst>
        </c:ser>
        <c:dLbls>
          <c:dLblPos val="outEnd"/>
          <c:showLegendKey val="0"/>
          <c:showVal val="0"/>
          <c:showCatName val="0"/>
          <c:showSerName val="0"/>
          <c:showPercent val="0"/>
          <c:showBubbleSize val="0"/>
        </c:dLbls>
        <c:gapWidth val="165"/>
        <c:axId val="1455412304"/>
        <c:axId val="1455414384"/>
      </c:barChart>
      <c:catAx>
        <c:axId val="1455412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55414384"/>
        <c:crosses val="autoZero"/>
        <c:auto val="1"/>
        <c:lblAlgn val="ctr"/>
        <c:lblOffset val="100"/>
        <c:noMultiLvlLbl val="0"/>
      </c:catAx>
      <c:valAx>
        <c:axId val="1455414384"/>
        <c:scaling>
          <c:orientation val="minMax"/>
          <c:max val="1200000"/>
          <c:min val="0"/>
        </c:scaling>
        <c:delete val="0"/>
        <c:axPos val="b"/>
        <c:numFmt formatCode="[$₦-471]\ #,##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55412304"/>
        <c:crosses val="autoZero"/>
        <c:crossBetween val="between"/>
        <c:majorUnit val="500000"/>
        <c:minorUnit val="2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oftEdge rad="635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 Capstone.xlsx]Pivot Analysis!PivotTable11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Analysis'!$C$7</c:f>
              <c:strCache>
                <c:ptCount val="1"/>
                <c:pt idx="0">
                  <c:v>Total</c:v>
                </c:pt>
              </c:strCache>
            </c:strRef>
          </c:tx>
          <c:spPr>
            <a:solidFill>
              <a:schemeClr val="accent5">
                <a:lumMod val="75000"/>
              </a:schemeClr>
            </a:solidFill>
            <a:ln>
              <a:noFill/>
            </a:ln>
            <a:effectLst/>
          </c:spPr>
          <c:invertIfNegative val="0"/>
          <c:cat>
            <c:strRef>
              <c:f>'Pivot Analysis'!$B$8:$B$22</c:f>
              <c:strCache>
                <c:ptCount val="14"/>
                <c:pt idx="0">
                  <c:v>Uganda</c:v>
                </c:pt>
                <c:pt idx="1">
                  <c:v>UK</c:v>
                </c:pt>
                <c:pt idx="2">
                  <c:v>Kenya</c:v>
                </c:pt>
                <c:pt idx="3">
                  <c:v>Philippines</c:v>
                </c:pt>
                <c:pt idx="4">
                  <c:v>Zimbabwe</c:v>
                </c:pt>
                <c:pt idx="5">
                  <c:v>USA</c:v>
                </c:pt>
                <c:pt idx="6">
                  <c:v>Ghana</c:v>
                </c:pt>
                <c:pt idx="7">
                  <c:v>Cyprus</c:v>
                </c:pt>
                <c:pt idx="8">
                  <c:v>Nigeria</c:v>
                </c:pt>
                <c:pt idx="9">
                  <c:v>India</c:v>
                </c:pt>
                <c:pt idx="10">
                  <c:v>Albania</c:v>
                </c:pt>
                <c:pt idx="11">
                  <c:v>Canada</c:v>
                </c:pt>
                <c:pt idx="12">
                  <c:v>Australia</c:v>
                </c:pt>
                <c:pt idx="13">
                  <c:v>Germany</c:v>
                </c:pt>
              </c:strCache>
            </c:strRef>
          </c:cat>
          <c:val>
            <c:numRef>
              <c:f>'Pivot Analysis'!$C$8:$C$22</c:f>
              <c:numCache>
                <c:formatCode>[$₦-468]\ #,##0</c:formatCode>
                <c:ptCount val="14"/>
                <c:pt idx="0">
                  <c:v>29283200</c:v>
                </c:pt>
                <c:pt idx="1">
                  <c:v>28419100</c:v>
                </c:pt>
                <c:pt idx="2">
                  <c:v>26676000</c:v>
                </c:pt>
                <c:pt idx="3">
                  <c:v>25040200</c:v>
                </c:pt>
                <c:pt idx="4">
                  <c:v>24937200</c:v>
                </c:pt>
                <c:pt idx="5">
                  <c:v>24743800</c:v>
                </c:pt>
                <c:pt idx="6">
                  <c:v>24377400</c:v>
                </c:pt>
                <c:pt idx="7">
                  <c:v>24263100</c:v>
                </c:pt>
                <c:pt idx="8">
                  <c:v>23010500</c:v>
                </c:pt>
                <c:pt idx="9">
                  <c:v>22482200</c:v>
                </c:pt>
                <c:pt idx="10">
                  <c:v>22206900</c:v>
                </c:pt>
                <c:pt idx="11">
                  <c:v>21397900</c:v>
                </c:pt>
                <c:pt idx="12">
                  <c:v>21209900</c:v>
                </c:pt>
                <c:pt idx="13">
                  <c:v>20486100</c:v>
                </c:pt>
              </c:numCache>
            </c:numRef>
          </c:val>
          <c:extLst>
            <c:ext xmlns:c16="http://schemas.microsoft.com/office/drawing/2014/chart" uri="{C3380CC4-5D6E-409C-BE32-E72D297353CC}">
              <c16:uniqueId val="{00000000-38C1-4FE6-8BD7-A7D65125D314}"/>
            </c:ext>
          </c:extLst>
        </c:ser>
        <c:dLbls>
          <c:showLegendKey val="0"/>
          <c:showVal val="0"/>
          <c:showCatName val="0"/>
          <c:showSerName val="0"/>
          <c:showPercent val="0"/>
          <c:showBubbleSize val="0"/>
        </c:dLbls>
        <c:gapWidth val="219"/>
        <c:overlap val="-27"/>
        <c:axId val="273392783"/>
        <c:axId val="273396111"/>
      </c:barChart>
      <c:catAx>
        <c:axId val="27339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73396111"/>
        <c:crosses val="autoZero"/>
        <c:auto val="1"/>
        <c:lblAlgn val="ctr"/>
        <c:lblOffset val="100"/>
        <c:noMultiLvlLbl val="0"/>
      </c:catAx>
      <c:valAx>
        <c:axId val="273396111"/>
        <c:scaling>
          <c:orientation val="minMax"/>
          <c:max val="25000000"/>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73392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image" Target="../media/image1.png"/><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622300</xdr:colOff>
      <xdr:row>24</xdr:row>
      <xdr:rowOff>0</xdr:rowOff>
    </xdr:from>
    <xdr:to>
      <xdr:col>8</xdr:col>
      <xdr:colOff>0</xdr:colOff>
      <xdr:row>37</xdr:row>
      <xdr:rowOff>0</xdr:rowOff>
    </xdr:to>
    <xdr:graphicFrame macro="">
      <xdr:nvGraphicFramePr>
        <xdr:cNvPr id="3" name="Chart 2">
          <a:extLst>
            <a:ext uri="{FF2B5EF4-FFF2-40B4-BE49-F238E27FC236}">
              <a16:creationId xmlns:a16="http://schemas.microsoft.com/office/drawing/2014/main" id="{06045C8C-667B-4319-9D9F-FFDD2A0A8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568325</xdr:colOff>
      <xdr:row>24</xdr:row>
      <xdr:rowOff>31750</xdr:rowOff>
    </xdr:from>
    <xdr:to>
      <xdr:col>13</xdr:col>
      <xdr:colOff>584200</xdr:colOff>
      <xdr:row>36</xdr:row>
      <xdr:rowOff>6350</xdr:rowOff>
    </xdr:to>
    <xdr:graphicFrame macro="">
      <xdr:nvGraphicFramePr>
        <xdr:cNvPr id="4" name="Chart 3">
          <a:extLst>
            <a:ext uri="{FF2B5EF4-FFF2-40B4-BE49-F238E27FC236}">
              <a16:creationId xmlns:a16="http://schemas.microsoft.com/office/drawing/2014/main" id="{C313DB67-F580-404C-BD1B-82F857EF9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182563</xdr:colOff>
      <xdr:row>24</xdr:row>
      <xdr:rowOff>27215</xdr:rowOff>
    </xdr:from>
    <xdr:to>
      <xdr:col>20</xdr:col>
      <xdr:colOff>257628</xdr:colOff>
      <xdr:row>36</xdr:row>
      <xdr:rowOff>158750</xdr:rowOff>
    </xdr:to>
    <xdr:graphicFrame macro="">
      <xdr:nvGraphicFramePr>
        <xdr:cNvPr id="5" name="Chart 4">
          <a:extLst>
            <a:ext uri="{FF2B5EF4-FFF2-40B4-BE49-F238E27FC236}">
              <a16:creationId xmlns:a16="http://schemas.microsoft.com/office/drawing/2014/main" id="{64323107-BFEC-413F-A061-4DA3D69CE5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68037</xdr:colOff>
      <xdr:row>24</xdr:row>
      <xdr:rowOff>20865</xdr:rowOff>
    </xdr:from>
    <xdr:to>
      <xdr:col>24</xdr:col>
      <xdr:colOff>330201</xdr:colOff>
      <xdr:row>36</xdr:row>
      <xdr:rowOff>12700</xdr:rowOff>
    </xdr:to>
    <xdr:graphicFrame macro="">
      <xdr:nvGraphicFramePr>
        <xdr:cNvPr id="6" name="Chart 5">
          <a:extLst>
            <a:ext uri="{FF2B5EF4-FFF2-40B4-BE49-F238E27FC236}">
              <a16:creationId xmlns:a16="http://schemas.microsoft.com/office/drawing/2014/main" id="{2B2F2D4A-F7B6-44A3-BC1F-8F01537778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231775</xdr:colOff>
      <xdr:row>24</xdr:row>
      <xdr:rowOff>19050</xdr:rowOff>
    </xdr:from>
    <xdr:to>
      <xdr:col>29</xdr:col>
      <xdr:colOff>266700</xdr:colOff>
      <xdr:row>36</xdr:row>
      <xdr:rowOff>6350</xdr:rowOff>
    </xdr:to>
    <xdr:graphicFrame macro="">
      <xdr:nvGraphicFramePr>
        <xdr:cNvPr id="7" name="Chart 6">
          <a:extLst>
            <a:ext uri="{FF2B5EF4-FFF2-40B4-BE49-F238E27FC236}">
              <a16:creationId xmlns:a16="http://schemas.microsoft.com/office/drawing/2014/main" id="{7F85013D-8154-43F8-B678-B3E435A803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198438</xdr:colOff>
      <xdr:row>8</xdr:row>
      <xdr:rowOff>12700</xdr:rowOff>
    </xdr:from>
    <xdr:to>
      <xdr:col>12</xdr:col>
      <xdr:colOff>603250</xdr:colOff>
      <xdr:row>18</xdr:row>
      <xdr:rowOff>23812</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16EE6016-3E63-4E56-A913-3BA3C59065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287001" y="1631950"/>
              <a:ext cx="1222375" cy="1836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309562</xdr:colOff>
      <xdr:row>9</xdr:row>
      <xdr:rowOff>44450</xdr:rowOff>
    </xdr:from>
    <xdr:to>
      <xdr:col>4</xdr:col>
      <xdr:colOff>777875</xdr:colOff>
      <xdr:row>19</xdr:row>
      <xdr:rowOff>127001</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A13FB75D-6C49-4244-BE0F-5BBABF17C00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817812" y="1846263"/>
              <a:ext cx="1206500" cy="1908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369093</xdr:colOff>
      <xdr:row>24</xdr:row>
      <xdr:rowOff>13497</xdr:rowOff>
    </xdr:from>
    <xdr:to>
      <xdr:col>4</xdr:col>
      <xdr:colOff>523874</xdr:colOff>
      <xdr:row>37</xdr:row>
      <xdr:rowOff>95250</xdr:rowOff>
    </xdr:to>
    <xdr:graphicFrame macro="">
      <xdr:nvGraphicFramePr>
        <xdr:cNvPr id="10" name="Chart 9">
          <a:extLst>
            <a:ext uri="{FF2B5EF4-FFF2-40B4-BE49-F238E27FC236}">
              <a16:creationId xmlns:a16="http://schemas.microsoft.com/office/drawing/2014/main" id="{A99F6CCB-6548-465B-932C-58EA5F0F6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8</xdr:col>
      <xdr:colOff>117928</xdr:colOff>
      <xdr:row>4</xdr:row>
      <xdr:rowOff>99786</xdr:rowOff>
    </xdr:from>
    <xdr:ext cx="184731" cy="264560"/>
    <xdr:sp macro="" textlink="">
      <xdr:nvSpPr>
        <xdr:cNvPr id="3" name="TextBox 2">
          <a:extLst>
            <a:ext uri="{FF2B5EF4-FFF2-40B4-BE49-F238E27FC236}">
              <a16:creationId xmlns:a16="http://schemas.microsoft.com/office/drawing/2014/main" id="{F5FDF257-B1DB-4B0A-BD8D-41E4F3DFC3AB}"/>
            </a:ext>
          </a:extLst>
        </xdr:cNvPr>
        <xdr:cNvSpPr txBox="1"/>
      </xdr:nvSpPr>
      <xdr:spPr>
        <a:xfrm>
          <a:off x="5061857" y="11883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3</xdr:col>
      <xdr:colOff>19050</xdr:colOff>
      <xdr:row>2</xdr:row>
      <xdr:rowOff>121707</xdr:rowOff>
    </xdr:from>
    <xdr:to>
      <xdr:col>19</xdr:col>
      <xdr:colOff>445306</xdr:colOff>
      <xdr:row>34</xdr:row>
      <xdr:rowOff>1762</xdr:rowOff>
    </xdr:to>
    <xdr:sp macro="" textlink="">
      <xdr:nvSpPr>
        <xdr:cNvPr id="2" name="Rectangle: Rounded Corners 1">
          <a:extLst>
            <a:ext uri="{FF2B5EF4-FFF2-40B4-BE49-F238E27FC236}">
              <a16:creationId xmlns:a16="http://schemas.microsoft.com/office/drawing/2014/main" id="{75DBBD80-14A3-49AA-A4E5-A2F69F5637F4}"/>
            </a:ext>
          </a:extLst>
        </xdr:cNvPr>
        <xdr:cNvSpPr/>
      </xdr:nvSpPr>
      <xdr:spPr>
        <a:xfrm>
          <a:off x="1924050" y="748770"/>
          <a:ext cx="10205256" cy="5722055"/>
        </a:xfrm>
        <a:prstGeom prst="roundRect">
          <a:avLst/>
        </a:prstGeom>
        <a:solidFill>
          <a:srgbClr val="F6F9FC">
            <a:alpha val="92941"/>
          </a:srgbClr>
        </a:solidFill>
        <a:effectLst>
          <a:glow rad="25400">
            <a:schemeClr val="accent1">
              <a:alpha val="15000"/>
            </a:schemeClr>
          </a:glow>
          <a:outerShdw blurRad="723900" sx="1000" sy="1000" algn="ctr" rotWithShape="0">
            <a:srgbClr val="000000"/>
          </a:outerShdw>
          <a:softEdge rad="1016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165424</xdr:colOff>
      <xdr:row>3</xdr:row>
      <xdr:rowOff>146113</xdr:rowOff>
    </xdr:from>
    <xdr:to>
      <xdr:col>19</xdr:col>
      <xdr:colOff>336207</xdr:colOff>
      <xdr:row>33</xdr:row>
      <xdr:rowOff>19968</xdr:rowOff>
    </xdr:to>
    <xdr:sp macro="" textlink="">
      <xdr:nvSpPr>
        <xdr:cNvPr id="4" name="Rectangle: Rounded Corners 3">
          <a:extLst>
            <a:ext uri="{FF2B5EF4-FFF2-40B4-BE49-F238E27FC236}">
              <a16:creationId xmlns:a16="http://schemas.microsoft.com/office/drawing/2014/main" id="{544C7A8C-7C2F-4AEF-BA38-9A4C2B23E6BE}"/>
            </a:ext>
          </a:extLst>
        </xdr:cNvPr>
        <xdr:cNvSpPr/>
      </xdr:nvSpPr>
      <xdr:spPr>
        <a:xfrm>
          <a:off x="2070424" y="955738"/>
          <a:ext cx="9949783" cy="5350730"/>
        </a:xfrm>
        <a:prstGeom prst="roundRect">
          <a:avLst/>
        </a:prstGeom>
        <a:solidFill>
          <a:srgbClr val="F0F5FA">
            <a:alpha val="96863"/>
          </a:srgbClr>
        </a:solidFill>
        <a:effectLst>
          <a:glow>
            <a:schemeClr val="accent1">
              <a:alpha val="34000"/>
            </a:schemeClr>
          </a:glow>
          <a:softEdge rad="508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23320</xdr:colOff>
      <xdr:row>4</xdr:row>
      <xdr:rowOff>95731</xdr:rowOff>
    </xdr:from>
    <xdr:to>
      <xdr:col>6</xdr:col>
      <xdr:colOff>401833</xdr:colOff>
      <xdr:row>8</xdr:row>
      <xdr:rowOff>118595</xdr:rowOff>
    </xdr:to>
    <xdr:sp macro="" textlink="">
      <xdr:nvSpPr>
        <xdr:cNvPr id="5" name="Rectangle: Rounded Corners 4">
          <a:extLst>
            <a:ext uri="{FF2B5EF4-FFF2-40B4-BE49-F238E27FC236}">
              <a16:creationId xmlns:a16="http://schemas.microsoft.com/office/drawing/2014/main" id="{F1421F8F-9B90-4742-A49D-22D45F34696A}"/>
            </a:ext>
          </a:extLst>
        </xdr:cNvPr>
        <xdr:cNvSpPr/>
      </xdr:nvSpPr>
      <xdr:spPr>
        <a:xfrm>
          <a:off x="2539508" y="1087919"/>
          <a:ext cx="1600888" cy="753114"/>
        </a:xfrm>
        <a:prstGeom prst="roundRect">
          <a:avLst/>
        </a:prstGeom>
        <a:solidFill>
          <a:schemeClr val="bg1"/>
        </a:solidFill>
        <a:effectLst>
          <a:glow>
            <a:schemeClr val="accent1"/>
          </a:glow>
          <a:outerShdw blurRad="50800" dist="50800" dir="5460000" sx="1000" sy="1000" algn="ctr" rotWithShape="0">
            <a:srgbClr val="000000"/>
          </a:outerShdw>
          <a:softEdge rad="635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 </a:t>
          </a:r>
        </a:p>
      </xdr:txBody>
    </xdr:sp>
    <xdr:clientData/>
  </xdr:twoCellAnchor>
  <xdr:twoCellAnchor>
    <xdr:from>
      <xdr:col>3</xdr:col>
      <xdr:colOff>362711</xdr:colOff>
      <xdr:row>9</xdr:row>
      <xdr:rowOff>61229</xdr:rowOff>
    </xdr:from>
    <xdr:to>
      <xdr:col>8</xdr:col>
      <xdr:colOff>418808</xdr:colOff>
      <xdr:row>20</xdr:row>
      <xdr:rowOff>975</xdr:rowOff>
    </xdr:to>
    <xdr:sp macro="" textlink="">
      <xdr:nvSpPr>
        <xdr:cNvPr id="22" name="Rectangle: Rounded Corners 21">
          <a:extLst>
            <a:ext uri="{FF2B5EF4-FFF2-40B4-BE49-F238E27FC236}">
              <a16:creationId xmlns:a16="http://schemas.microsoft.com/office/drawing/2014/main" id="{49B70897-68C7-45B5-B938-3B2842FBFDD0}"/>
            </a:ext>
          </a:extLst>
        </xdr:cNvPr>
        <xdr:cNvSpPr/>
      </xdr:nvSpPr>
      <xdr:spPr>
        <a:xfrm>
          <a:off x="2267711" y="1966229"/>
          <a:ext cx="3112035" cy="194793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105553</xdr:colOff>
      <xdr:row>9</xdr:row>
      <xdr:rowOff>61229</xdr:rowOff>
    </xdr:from>
    <xdr:to>
      <xdr:col>19</xdr:col>
      <xdr:colOff>161651</xdr:colOff>
      <xdr:row>20</xdr:row>
      <xdr:rowOff>975</xdr:rowOff>
    </xdr:to>
    <xdr:sp macro="" textlink="">
      <xdr:nvSpPr>
        <xdr:cNvPr id="29" name="Rectangle: Rounded Corners 28">
          <a:extLst>
            <a:ext uri="{FF2B5EF4-FFF2-40B4-BE49-F238E27FC236}">
              <a16:creationId xmlns:a16="http://schemas.microsoft.com/office/drawing/2014/main" id="{601A715F-0A76-48DE-9AFD-B8E15E0B5DA7}"/>
            </a:ext>
          </a:extLst>
        </xdr:cNvPr>
        <xdr:cNvSpPr/>
      </xdr:nvSpPr>
      <xdr:spPr>
        <a:xfrm>
          <a:off x="8733616" y="1966229"/>
          <a:ext cx="3112035" cy="194793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515295</xdr:colOff>
      <xdr:row>4</xdr:row>
      <xdr:rowOff>95731</xdr:rowOff>
    </xdr:from>
    <xdr:to>
      <xdr:col>15</xdr:col>
      <xdr:colOff>282621</xdr:colOff>
      <xdr:row>8</xdr:row>
      <xdr:rowOff>118595</xdr:rowOff>
    </xdr:to>
    <xdr:sp macro="" textlink="">
      <xdr:nvSpPr>
        <xdr:cNvPr id="31" name="Rectangle: Rounded Corners 30">
          <a:extLst>
            <a:ext uri="{FF2B5EF4-FFF2-40B4-BE49-F238E27FC236}">
              <a16:creationId xmlns:a16="http://schemas.microsoft.com/office/drawing/2014/main" id="{6AC0B097-5D20-49A8-96CC-25E011361989}"/>
            </a:ext>
          </a:extLst>
        </xdr:cNvPr>
        <xdr:cNvSpPr/>
      </xdr:nvSpPr>
      <xdr:spPr>
        <a:xfrm>
          <a:off x="7920983" y="1087919"/>
          <a:ext cx="1600888" cy="753114"/>
        </a:xfrm>
        <a:prstGeom prst="roundRect">
          <a:avLst/>
        </a:prstGeom>
        <a:solidFill>
          <a:schemeClr val="bg1"/>
        </a:solidFill>
        <a:effectLst>
          <a:glow>
            <a:schemeClr val="accent1"/>
          </a:glow>
          <a:outerShdw blurRad="50800" dist="50800" dir="5460000" sx="1000" sy="1000" algn="ctr" rotWithShape="0">
            <a:srgbClr val="000000"/>
          </a:outerShdw>
          <a:softEdge rad="635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t>3,825</a:t>
          </a:r>
        </a:p>
      </xdr:txBody>
    </xdr:sp>
    <xdr:clientData/>
  </xdr:twoCellAnchor>
  <xdr:twoCellAnchor>
    <xdr:from>
      <xdr:col>9</xdr:col>
      <xdr:colOff>555033</xdr:colOff>
      <xdr:row>4</xdr:row>
      <xdr:rowOff>95731</xdr:rowOff>
    </xdr:from>
    <xdr:to>
      <xdr:col>12</xdr:col>
      <xdr:colOff>322358</xdr:colOff>
      <xdr:row>8</xdr:row>
      <xdr:rowOff>118595</xdr:rowOff>
    </xdr:to>
    <xdr:sp macro="" textlink="">
      <xdr:nvSpPr>
        <xdr:cNvPr id="34" name="Rectangle: Rounded Corners 33">
          <a:extLst>
            <a:ext uri="{FF2B5EF4-FFF2-40B4-BE49-F238E27FC236}">
              <a16:creationId xmlns:a16="http://schemas.microsoft.com/office/drawing/2014/main" id="{D33C0E9D-FA8F-4A61-9C3B-F18C92B5A08E}"/>
            </a:ext>
          </a:extLst>
        </xdr:cNvPr>
        <xdr:cNvSpPr/>
      </xdr:nvSpPr>
      <xdr:spPr>
        <a:xfrm>
          <a:off x="6127158" y="1087919"/>
          <a:ext cx="1600888" cy="753114"/>
        </a:xfrm>
        <a:prstGeom prst="roundRect">
          <a:avLst/>
        </a:prstGeom>
        <a:solidFill>
          <a:schemeClr val="bg1"/>
        </a:solidFill>
        <a:effectLst>
          <a:glow>
            <a:schemeClr val="accent1"/>
          </a:glow>
          <a:outerShdw blurRad="50800" dist="50800" dir="5460000" sx="1000" sy="1000" algn="ctr" rotWithShape="0">
            <a:srgbClr val="000000"/>
          </a:outerShdw>
          <a:softEdge rad="635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t>₦ 14,155,500</a:t>
          </a:r>
        </a:p>
      </xdr:txBody>
    </xdr:sp>
    <xdr:clientData/>
  </xdr:twoCellAnchor>
  <xdr:twoCellAnchor>
    <xdr:from>
      <xdr:col>14</xdr:col>
      <xdr:colOff>105553</xdr:colOff>
      <xdr:row>20</xdr:row>
      <xdr:rowOff>128807</xdr:rowOff>
    </xdr:from>
    <xdr:to>
      <xdr:col>19</xdr:col>
      <xdr:colOff>161651</xdr:colOff>
      <xdr:row>31</xdr:row>
      <xdr:rowOff>74641</xdr:rowOff>
    </xdr:to>
    <xdr:sp macro="" textlink="">
      <xdr:nvSpPr>
        <xdr:cNvPr id="35" name="Rectangle: Rounded Corners 34">
          <a:extLst>
            <a:ext uri="{FF2B5EF4-FFF2-40B4-BE49-F238E27FC236}">
              <a16:creationId xmlns:a16="http://schemas.microsoft.com/office/drawing/2014/main" id="{9761B1AA-50C5-42E1-BD77-F5DB3748ECF6}"/>
            </a:ext>
          </a:extLst>
        </xdr:cNvPr>
        <xdr:cNvSpPr/>
      </xdr:nvSpPr>
      <xdr:spPr>
        <a:xfrm>
          <a:off x="8733616" y="4041995"/>
          <a:ext cx="3112035" cy="195402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8</xdr:col>
      <xdr:colOff>539726</xdr:colOff>
      <xdr:row>20</xdr:row>
      <xdr:rowOff>128807</xdr:rowOff>
    </xdr:from>
    <xdr:to>
      <xdr:col>13</xdr:col>
      <xdr:colOff>595824</xdr:colOff>
      <xdr:row>31</xdr:row>
      <xdr:rowOff>74641</xdr:rowOff>
    </xdr:to>
    <xdr:sp macro="" textlink="">
      <xdr:nvSpPr>
        <xdr:cNvPr id="36" name="Rectangle: Rounded Corners 35">
          <a:extLst>
            <a:ext uri="{FF2B5EF4-FFF2-40B4-BE49-F238E27FC236}">
              <a16:creationId xmlns:a16="http://schemas.microsoft.com/office/drawing/2014/main" id="{24C019C7-F930-4906-90BD-B1B2D1AE98A9}"/>
            </a:ext>
          </a:extLst>
        </xdr:cNvPr>
        <xdr:cNvSpPr/>
      </xdr:nvSpPr>
      <xdr:spPr>
        <a:xfrm>
          <a:off x="5500664" y="4041995"/>
          <a:ext cx="3112035" cy="195402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362711</xdr:colOff>
      <xdr:row>20</xdr:row>
      <xdr:rowOff>128807</xdr:rowOff>
    </xdr:from>
    <xdr:to>
      <xdr:col>8</xdr:col>
      <xdr:colOff>418808</xdr:colOff>
      <xdr:row>31</xdr:row>
      <xdr:rowOff>74641</xdr:rowOff>
    </xdr:to>
    <xdr:sp macro="" textlink="">
      <xdr:nvSpPr>
        <xdr:cNvPr id="37" name="Rectangle: Rounded Corners 36">
          <a:extLst>
            <a:ext uri="{FF2B5EF4-FFF2-40B4-BE49-F238E27FC236}">
              <a16:creationId xmlns:a16="http://schemas.microsoft.com/office/drawing/2014/main" id="{0DA03649-FDED-4536-9BB0-4D93D29396B7}"/>
            </a:ext>
          </a:extLst>
        </xdr:cNvPr>
        <xdr:cNvSpPr/>
      </xdr:nvSpPr>
      <xdr:spPr>
        <a:xfrm>
          <a:off x="2267711" y="4041995"/>
          <a:ext cx="3112035" cy="195402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475559</xdr:colOff>
      <xdr:row>4</xdr:row>
      <xdr:rowOff>95731</xdr:rowOff>
    </xdr:from>
    <xdr:to>
      <xdr:col>18</xdr:col>
      <xdr:colOff>242884</xdr:colOff>
      <xdr:row>8</xdr:row>
      <xdr:rowOff>118595</xdr:rowOff>
    </xdr:to>
    <xdr:sp macro="" textlink="">
      <xdr:nvSpPr>
        <xdr:cNvPr id="45" name="Rectangle: Rounded Corners 44">
          <a:extLst>
            <a:ext uri="{FF2B5EF4-FFF2-40B4-BE49-F238E27FC236}">
              <a16:creationId xmlns:a16="http://schemas.microsoft.com/office/drawing/2014/main" id="{9A4C8572-B7A5-4F25-BD9F-4856EFC750B9}"/>
            </a:ext>
          </a:extLst>
        </xdr:cNvPr>
        <xdr:cNvSpPr/>
      </xdr:nvSpPr>
      <xdr:spPr>
        <a:xfrm>
          <a:off x="9714809" y="1087919"/>
          <a:ext cx="1600888" cy="753114"/>
        </a:xfrm>
        <a:prstGeom prst="roundRect">
          <a:avLst/>
        </a:prstGeom>
        <a:solidFill>
          <a:schemeClr val="bg1"/>
        </a:solidFill>
        <a:effectLst>
          <a:glow>
            <a:schemeClr val="accent1"/>
          </a:glow>
          <a:outerShdw blurRad="50800" dist="50800" dir="5460000" sx="1000" sy="1000" algn="ctr" rotWithShape="0">
            <a:srgbClr val="000000"/>
          </a:outerShdw>
          <a:softEdge rad="635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t>5.18%</a:t>
          </a:r>
        </a:p>
      </xdr:txBody>
    </xdr:sp>
    <xdr:clientData/>
  </xdr:twoCellAnchor>
  <xdr:twoCellAnchor>
    <xdr:from>
      <xdr:col>8</xdr:col>
      <xdr:colOff>539726</xdr:colOff>
      <xdr:row>9</xdr:row>
      <xdr:rowOff>61229</xdr:rowOff>
    </xdr:from>
    <xdr:to>
      <xdr:col>13</xdr:col>
      <xdr:colOff>595824</xdr:colOff>
      <xdr:row>20</xdr:row>
      <xdr:rowOff>975</xdr:rowOff>
    </xdr:to>
    <xdr:sp macro="" textlink="">
      <xdr:nvSpPr>
        <xdr:cNvPr id="30" name="Rectangle: Rounded Corners 29">
          <a:extLst>
            <a:ext uri="{FF2B5EF4-FFF2-40B4-BE49-F238E27FC236}">
              <a16:creationId xmlns:a16="http://schemas.microsoft.com/office/drawing/2014/main" id="{6F45221C-E475-4E03-812F-16C404FC2497}"/>
            </a:ext>
          </a:extLst>
        </xdr:cNvPr>
        <xdr:cNvSpPr/>
      </xdr:nvSpPr>
      <xdr:spPr>
        <a:xfrm>
          <a:off x="5500664" y="1966229"/>
          <a:ext cx="3112035" cy="194793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7041</xdr:colOff>
      <xdr:row>10</xdr:row>
      <xdr:rowOff>0</xdr:rowOff>
    </xdr:from>
    <xdr:to>
      <xdr:col>13</xdr:col>
      <xdr:colOff>488371</xdr:colOff>
      <xdr:row>19</xdr:row>
      <xdr:rowOff>149162</xdr:rowOff>
    </xdr:to>
    <xdr:graphicFrame macro="">
      <xdr:nvGraphicFramePr>
        <xdr:cNvPr id="25" name="Chart 24">
          <a:extLst>
            <a:ext uri="{FF2B5EF4-FFF2-40B4-BE49-F238E27FC236}">
              <a16:creationId xmlns:a16="http://schemas.microsoft.com/office/drawing/2014/main" id="{250408F5-8F82-4E47-BAB0-8853091C0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173354</xdr:colOff>
      <xdr:row>10</xdr:row>
      <xdr:rowOff>0</xdr:rowOff>
    </xdr:from>
    <xdr:to>
      <xdr:col>19</xdr:col>
      <xdr:colOff>43497</xdr:colOff>
      <xdr:row>19</xdr:row>
      <xdr:rowOff>149162</xdr:rowOff>
    </xdr:to>
    <xdr:graphicFrame macro="">
      <xdr:nvGraphicFramePr>
        <xdr:cNvPr id="26" name="Chart 25">
          <a:extLst>
            <a:ext uri="{FF2B5EF4-FFF2-40B4-BE49-F238E27FC236}">
              <a16:creationId xmlns:a16="http://schemas.microsoft.com/office/drawing/2014/main" id="{60EC7E03-B056-4C1A-BDDF-CE184F4E2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21</xdr:row>
      <xdr:rowOff>33401</xdr:rowOff>
    </xdr:from>
    <xdr:to>
      <xdr:col>13</xdr:col>
      <xdr:colOff>481330</xdr:colOff>
      <xdr:row>31</xdr:row>
      <xdr:rowOff>0</xdr:rowOff>
    </xdr:to>
    <xdr:graphicFrame macro="">
      <xdr:nvGraphicFramePr>
        <xdr:cNvPr id="28" name="Chart 27">
          <a:extLst>
            <a:ext uri="{FF2B5EF4-FFF2-40B4-BE49-F238E27FC236}">
              <a16:creationId xmlns:a16="http://schemas.microsoft.com/office/drawing/2014/main" id="{A13435C1-4E9E-41B5-9409-C26C95255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171920</xdr:colOff>
      <xdr:row>21</xdr:row>
      <xdr:rowOff>13204</xdr:rowOff>
    </xdr:from>
    <xdr:to>
      <xdr:col>19</xdr:col>
      <xdr:colOff>42063</xdr:colOff>
      <xdr:row>30</xdr:row>
      <xdr:rowOff>162365</xdr:rowOff>
    </xdr:to>
    <xdr:graphicFrame macro="">
      <xdr:nvGraphicFramePr>
        <xdr:cNvPr id="33" name="Chart 32">
          <a:extLst>
            <a:ext uri="{FF2B5EF4-FFF2-40B4-BE49-F238E27FC236}">
              <a16:creationId xmlns:a16="http://schemas.microsoft.com/office/drawing/2014/main" id="{33014698-3610-431E-A017-575D9A619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339657</xdr:colOff>
      <xdr:row>4</xdr:row>
      <xdr:rowOff>141511</xdr:rowOff>
    </xdr:from>
    <xdr:to>
      <xdr:col>11</xdr:col>
      <xdr:colOff>560215</xdr:colOff>
      <xdr:row>6</xdr:row>
      <xdr:rowOff>39648</xdr:rowOff>
    </xdr:to>
    <xdr:sp macro="" textlink="">
      <xdr:nvSpPr>
        <xdr:cNvPr id="6" name="TextBox 5">
          <a:extLst>
            <a:ext uri="{FF2B5EF4-FFF2-40B4-BE49-F238E27FC236}">
              <a16:creationId xmlns:a16="http://schemas.microsoft.com/office/drawing/2014/main" id="{960ACA4D-2DA7-4670-932F-8B5724968C2D}"/>
            </a:ext>
          </a:extLst>
        </xdr:cNvPr>
        <xdr:cNvSpPr txBox="1"/>
      </xdr:nvSpPr>
      <xdr:spPr>
        <a:xfrm>
          <a:off x="6522970" y="1133699"/>
          <a:ext cx="831745" cy="2632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US" sz="1100"/>
            <a:t>Total Profit</a:t>
          </a:r>
        </a:p>
      </xdr:txBody>
    </xdr:sp>
    <xdr:clientData/>
  </xdr:twoCellAnchor>
  <xdr:twoCellAnchor>
    <xdr:from>
      <xdr:col>6</xdr:col>
      <xdr:colOff>594770</xdr:colOff>
      <xdr:row>4</xdr:row>
      <xdr:rowOff>95731</xdr:rowOff>
    </xdr:from>
    <xdr:to>
      <xdr:col>9</xdr:col>
      <xdr:colOff>362096</xdr:colOff>
      <xdr:row>8</xdr:row>
      <xdr:rowOff>118595</xdr:rowOff>
    </xdr:to>
    <xdr:sp macro="" textlink="">
      <xdr:nvSpPr>
        <xdr:cNvPr id="38" name="Rectangle: Rounded Corners 37">
          <a:extLst>
            <a:ext uri="{FF2B5EF4-FFF2-40B4-BE49-F238E27FC236}">
              <a16:creationId xmlns:a16="http://schemas.microsoft.com/office/drawing/2014/main" id="{EDE1630B-9990-4D5E-BCD2-09F98D3F5E1D}"/>
            </a:ext>
          </a:extLst>
        </xdr:cNvPr>
        <xdr:cNvSpPr/>
      </xdr:nvSpPr>
      <xdr:spPr>
        <a:xfrm>
          <a:off x="4333333" y="1087919"/>
          <a:ext cx="1600888" cy="753114"/>
        </a:xfrm>
        <a:prstGeom prst="roundRect">
          <a:avLst/>
        </a:prstGeom>
        <a:solidFill>
          <a:schemeClr val="bg1"/>
        </a:solidFill>
        <a:effectLst>
          <a:glow>
            <a:schemeClr val="accent1"/>
          </a:glow>
          <a:outerShdw blurRad="50800" dist="50800" dir="5460000" sx="1000" sy="1000" algn="ctr" rotWithShape="0">
            <a:srgbClr val="000000"/>
          </a:outerShdw>
          <a:softEdge rad="635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 324,378,000</a:t>
          </a:r>
        </a:p>
      </xdr:txBody>
    </xdr:sp>
    <xdr:clientData/>
  </xdr:twoCellAnchor>
  <xdr:twoCellAnchor>
    <xdr:from>
      <xdr:col>7</xdr:col>
      <xdr:colOff>438606</xdr:colOff>
      <xdr:row>4</xdr:row>
      <xdr:rowOff>146334</xdr:rowOff>
    </xdr:from>
    <xdr:to>
      <xdr:col>8</xdr:col>
      <xdr:colOff>587963</xdr:colOff>
      <xdr:row>6</xdr:row>
      <xdr:rowOff>42093</xdr:rowOff>
    </xdr:to>
    <xdr:sp macro="" textlink="">
      <xdr:nvSpPr>
        <xdr:cNvPr id="7" name="TextBox 6">
          <a:extLst>
            <a:ext uri="{FF2B5EF4-FFF2-40B4-BE49-F238E27FC236}">
              <a16:creationId xmlns:a16="http://schemas.microsoft.com/office/drawing/2014/main" id="{56C04C94-6264-4BF0-B349-5C070168E42D}"/>
            </a:ext>
          </a:extLst>
        </xdr:cNvPr>
        <xdr:cNvSpPr txBox="1"/>
      </xdr:nvSpPr>
      <xdr:spPr>
        <a:xfrm>
          <a:off x="4788356" y="1138522"/>
          <a:ext cx="760545" cy="2608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100"/>
            <a:t>Total Cost</a:t>
          </a:r>
        </a:p>
      </xdr:txBody>
    </xdr:sp>
    <xdr:clientData/>
  </xdr:twoCellAnchor>
  <xdr:twoCellAnchor>
    <xdr:from>
      <xdr:col>4</xdr:col>
      <xdr:colOff>325098</xdr:colOff>
      <xdr:row>4</xdr:row>
      <xdr:rowOff>146334</xdr:rowOff>
    </xdr:from>
    <xdr:to>
      <xdr:col>6</xdr:col>
      <xdr:colOff>115836</xdr:colOff>
      <xdr:row>6</xdr:row>
      <xdr:rowOff>44471</xdr:rowOff>
    </xdr:to>
    <xdr:sp macro="" textlink="">
      <xdr:nvSpPr>
        <xdr:cNvPr id="8" name="TextBox 7">
          <a:extLst>
            <a:ext uri="{FF2B5EF4-FFF2-40B4-BE49-F238E27FC236}">
              <a16:creationId xmlns:a16="http://schemas.microsoft.com/office/drawing/2014/main" id="{15F8F6B6-3F22-4DAA-BBFC-F8DFCF8A107C}"/>
            </a:ext>
          </a:extLst>
        </xdr:cNvPr>
        <xdr:cNvSpPr txBox="1"/>
      </xdr:nvSpPr>
      <xdr:spPr>
        <a:xfrm>
          <a:off x="2841286" y="1138522"/>
          <a:ext cx="1013113" cy="2632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US" sz="1100"/>
            <a:t>Total Revenue</a:t>
          </a:r>
        </a:p>
      </xdr:txBody>
    </xdr:sp>
    <xdr:clientData/>
  </xdr:twoCellAnchor>
  <xdr:twoCellAnchor>
    <xdr:from>
      <xdr:col>13</xdr:col>
      <xdr:colOff>67198</xdr:colOff>
      <xdr:row>4</xdr:row>
      <xdr:rowOff>127469</xdr:rowOff>
    </xdr:from>
    <xdr:to>
      <xdr:col>15</xdr:col>
      <xdr:colOff>139705</xdr:colOff>
      <xdr:row>6</xdr:row>
      <xdr:rowOff>25606</xdr:rowOff>
    </xdr:to>
    <xdr:sp macro="" textlink="">
      <xdr:nvSpPr>
        <xdr:cNvPr id="9" name="TextBox 8">
          <a:extLst>
            <a:ext uri="{FF2B5EF4-FFF2-40B4-BE49-F238E27FC236}">
              <a16:creationId xmlns:a16="http://schemas.microsoft.com/office/drawing/2014/main" id="{060ED2EB-0C18-4DD5-AD7D-D43815F8EC67}"/>
            </a:ext>
          </a:extLst>
        </xdr:cNvPr>
        <xdr:cNvSpPr txBox="1"/>
      </xdr:nvSpPr>
      <xdr:spPr>
        <a:xfrm>
          <a:off x="8084073" y="1119657"/>
          <a:ext cx="1294882" cy="2632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US" sz="1100"/>
            <a:t>Total Quantity Sold</a:t>
          </a:r>
        </a:p>
      </xdr:txBody>
    </xdr:sp>
    <xdr:clientData/>
  </xdr:twoCellAnchor>
  <xdr:twoCellAnchor>
    <xdr:from>
      <xdr:col>16</xdr:col>
      <xdr:colOff>32737</xdr:colOff>
      <xdr:row>4</xdr:row>
      <xdr:rowOff>148532</xdr:rowOff>
    </xdr:from>
    <xdr:to>
      <xdr:col>18</xdr:col>
      <xdr:colOff>43711</xdr:colOff>
      <xdr:row>6</xdr:row>
      <xdr:rowOff>46669</xdr:rowOff>
    </xdr:to>
    <xdr:sp macro="" textlink="">
      <xdr:nvSpPr>
        <xdr:cNvPr id="10" name="TextBox 9">
          <a:extLst>
            <a:ext uri="{FF2B5EF4-FFF2-40B4-BE49-F238E27FC236}">
              <a16:creationId xmlns:a16="http://schemas.microsoft.com/office/drawing/2014/main" id="{453E8EB8-9871-447F-8934-F63274CC8C96}"/>
            </a:ext>
          </a:extLst>
        </xdr:cNvPr>
        <xdr:cNvSpPr txBox="1"/>
      </xdr:nvSpPr>
      <xdr:spPr>
        <a:xfrm>
          <a:off x="9883175" y="1140720"/>
          <a:ext cx="1233349" cy="2632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US" sz="1100"/>
            <a:t>Avg, Profit Margin</a:t>
          </a:r>
        </a:p>
      </xdr:txBody>
    </xdr:sp>
    <xdr:clientData/>
  </xdr:twoCellAnchor>
  <xdr:twoCellAnchor>
    <xdr:from>
      <xdr:col>4</xdr:col>
      <xdr:colOff>190500</xdr:colOff>
      <xdr:row>4</xdr:row>
      <xdr:rowOff>134937</xdr:rowOff>
    </xdr:from>
    <xdr:to>
      <xdr:col>4</xdr:col>
      <xdr:colOff>365125</xdr:colOff>
      <xdr:row>5</xdr:row>
      <xdr:rowOff>144399</xdr:rowOff>
    </xdr:to>
    <xdr:sp macro="" textlink="">
      <xdr:nvSpPr>
        <xdr:cNvPr id="2049" name="Text Box 1">
          <a:extLst>
            <a:ext uri="{FF2B5EF4-FFF2-40B4-BE49-F238E27FC236}">
              <a16:creationId xmlns:a16="http://schemas.microsoft.com/office/drawing/2014/main" id="{D713DBBA-B2F3-4DA8-B994-B777F0173C60}"/>
            </a:ext>
          </a:extLst>
        </xdr:cNvPr>
        <xdr:cNvSpPr txBox="1">
          <a:spLocks noChangeArrowheads="1"/>
        </xdr:cNvSpPr>
      </xdr:nvSpPr>
      <xdr:spPr bwMode="auto">
        <a:xfrm>
          <a:off x="2706688" y="1127125"/>
          <a:ext cx="174625" cy="192024"/>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r>
            <a:rPr lang="en-US" sz="1100" b="0" i="0" u="none" strike="noStrike" cap="none" spc="0" baseline="0">
              <a:ln>
                <a:solidFill>
                  <a:schemeClr val="bg1">
                    <a:lumMod val="50000"/>
                  </a:schemeClr>
                </a:solidFill>
              </a:ln>
              <a:solidFill>
                <a:schemeClr val="bg2"/>
              </a:solidFill>
              <a:effectLst/>
              <a:latin typeface="Calibri"/>
              <a:cs typeface="Calibri"/>
            </a:rPr>
            <a:t>💰</a:t>
          </a:r>
        </a:p>
      </xdr:txBody>
    </xdr:sp>
    <xdr:clientData/>
  </xdr:twoCellAnchor>
  <xdr:twoCellAnchor>
    <xdr:from>
      <xdr:col>0</xdr:col>
      <xdr:colOff>0</xdr:colOff>
      <xdr:row>21</xdr:row>
      <xdr:rowOff>0</xdr:rowOff>
    </xdr:from>
    <xdr:to>
      <xdr:col>1</xdr:col>
      <xdr:colOff>523875</xdr:colOff>
      <xdr:row>23</xdr:row>
      <xdr:rowOff>88900</xdr:rowOff>
    </xdr:to>
    <xdr:sp macro="" textlink="">
      <xdr:nvSpPr>
        <xdr:cNvPr id="2050" name="t Box 2" hidden="1">
          <a:extLst>
            <a:ext uri="{FF2B5EF4-FFF2-40B4-BE49-F238E27FC236}">
              <a16:creationId xmlns:a16="http://schemas.microsoft.com/office/drawing/2014/main" id="{D35895AD-5380-4EA1-84C0-BC5761D903D4}"/>
            </a:ext>
          </a:extLst>
        </xdr:cNvPr>
        <xdr:cNvSpPr txBox="1">
          <a:spLocks noChangeArrowheads="1"/>
        </xdr:cNvSpPr>
      </xdr:nvSpPr>
      <xdr:spPr bwMode="auto">
        <a:xfrm>
          <a:off x="0" y="4095750"/>
          <a:ext cx="1206500" cy="454025"/>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Calibri"/>
              <a:cs typeface="Calibri"/>
            </a:rPr>
            <a:t>ggggg</a:t>
          </a:r>
        </a:p>
      </xdr:txBody>
    </xdr:sp>
    <xdr:clientData/>
  </xdr:twoCellAnchor>
  <xdr:twoCellAnchor>
    <xdr:from>
      <xdr:col>10</xdr:col>
      <xdr:colOff>246061</xdr:colOff>
      <xdr:row>4</xdr:row>
      <xdr:rowOff>150811</xdr:rowOff>
    </xdr:from>
    <xdr:to>
      <xdr:col>10</xdr:col>
      <xdr:colOff>419797</xdr:colOff>
      <xdr:row>5</xdr:row>
      <xdr:rowOff>160273</xdr:rowOff>
    </xdr:to>
    <xdr:sp macro="" textlink="">
      <xdr:nvSpPr>
        <xdr:cNvPr id="2051" name="Text Box 3">
          <a:extLst>
            <a:ext uri="{FF2B5EF4-FFF2-40B4-BE49-F238E27FC236}">
              <a16:creationId xmlns:a16="http://schemas.microsoft.com/office/drawing/2014/main" id="{047246BF-3B39-4DBA-AF4B-6F40F05A18CC}"/>
            </a:ext>
          </a:extLst>
        </xdr:cNvPr>
        <xdr:cNvSpPr txBox="1">
          <a:spLocks noChangeArrowheads="1"/>
        </xdr:cNvSpPr>
      </xdr:nvSpPr>
      <xdr:spPr bwMode="auto">
        <a:xfrm>
          <a:off x="6429374" y="1142999"/>
          <a:ext cx="173736" cy="192024"/>
        </a:xfrm>
        <a:prstGeom prst="rect">
          <a:avLst/>
        </a:prstGeom>
        <a:solidFill>
          <a:srgbClr val="FFFFFF"/>
        </a:solidFill>
        <a:ln w="9525">
          <a:solidFill>
            <a:schemeClr val="bg1"/>
          </a:solidFill>
          <a:miter lim="800000"/>
          <a:headEnd/>
          <a:tailEnd/>
        </a:ln>
      </xdr:spPr>
      <xdr:txBody>
        <a:bodyPr vertOverflow="clip" wrap="square" lIns="36576" tIns="32004" rIns="0" bIns="0" anchor="t" upright="1"/>
        <a:lstStyle/>
        <a:p>
          <a:pPr algn="l" rtl="0">
            <a:defRPr sz="1000"/>
          </a:pPr>
          <a:r>
            <a:rPr lang="en-US" sz="900" b="0" i="0" u="none" strike="noStrike" baseline="0">
              <a:solidFill>
                <a:schemeClr val="bg1"/>
              </a:solidFill>
              <a:latin typeface="Calibri"/>
              <a:cs typeface="Calibri"/>
            </a:rPr>
            <a:t>📈</a:t>
          </a:r>
        </a:p>
      </xdr:txBody>
    </xdr:sp>
    <xdr:clientData/>
  </xdr:twoCellAnchor>
  <xdr:twoCellAnchor editAs="oneCell">
    <xdr:from>
      <xdr:col>1</xdr:col>
      <xdr:colOff>487363</xdr:colOff>
      <xdr:row>4</xdr:row>
      <xdr:rowOff>2644</xdr:rowOff>
    </xdr:from>
    <xdr:to>
      <xdr:col>2</xdr:col>
      <xdr:colOff>187098</xdr:colOff>
      <xdr:row>5</xdr:row>
      <xdr:rowOff>100522</xdr:rowOff>
    </xdr:to>
    <xdr:pic>
      <xdr:nvPicPr>
        <xdr:cNvPr id="15" name="Picture 14">
          <a:extLst>
            <a:ext uri="{FF2B5EF4-FFF2-40B4-BE49-F238E27FC236}">
              <a16:creationId xmlns:a16="http://schemas.microsoft.com/office/drawing/2014/main" id="{F8761BEC-7862-4D2C-95E2-5B0FA2AE6DC2}"/>
            </a:ext>
          </a:extLst>
        </xdr:cNvPr>
        <xdr:cNvPicPr>
          <a:picLocks noChangeAspect="1"/>
        </xdr:cNvPicPr>
      </xdr:nvPicPr>
      <xdr:blipFill>
        <a:blip xmlns:r="http://schemas.openxmlformats.org/officeDocument/2006/relationships" r:embed="rId5"/>
        <a:stretch>
          <a:fillRect/>
        </a:stretch>
      </xdr:blipFill>
      <xdr:spPr>
        <a:xfrm>
          <a:off x="1169988" y="994832"/>
          <a:ext cx="310923" cy="280440"/>
        </a:xfrm>
        <a:prstGeom prst="rect">
          <a:avLst/>
        </a:prstGeom>
      </xdr:spPr>
    </xdr:pic>
    <xdr:clientData/>
  </xdr:twoCellAnchor>
  <xdr:twoCellAnchor>
    <xdr:from>
      <xdr:col>12</xdr:col>
      <xdr:colOff>571500</xdr:colOff>
      <xdr:row>4</xdr:row>
      <xdr:rowOff>119063</xdr:rowOff>
    </xdr:from>
    <xdr:to>
      <xdr:col>13</xdr:col>
      <xdr:colOff>134939</xdr:colOff>
      <xdr:row>5</xdr:row>
      <xdr:rowOff>128525</xdr:rowOff>
    </xdr:to>
    <xdr:sp macro="" textlink="">
      <xdr:nvSpPr>
        <xdr:cNvPr id="2052" name="Text Box 4">
          <a:extLst>
            <a:ext uri="{FF2B5EF4-FFF2-40B4-BE49-F238E27FC236}">
              <a16:creationId xmlns:a16="http://schemas.microsoft.com/office/drawing/2014/main" id="{B9982172-B317-4907-BC33-19088B8E6C37}"/>
            </a:ext>
          </a:extLst>
        </xdr:cNvPr>
        <xdr:cNvSpPr txBox="1">
          <a:spLocks noChangeArrowheads="1"/>
        </xdr:cNvSpPr>
      </xdr:nvSpPr>
      <xdr:spPr bwMode="auto">
        <a:xfrm>
          <a:off x="7977188" y="1111251"/>
          <a:ext cx="174626" cy="192024"/>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r>
            <a:rPr lang="en-US" sz="900" b="0" i="0" u="none" strike="noStrike" baseline="0">
              <a:ln>
                <a:solidFill>
                  <a:schemeClr val="tx1">
                    <a:lumMod val="50000"/>
                    <a:lumOff val="50000"/>
                  </a:schemeClr>
                </a:solidFill>
              </a:ln>
              <a:solidFill>
                <a:schemeClr val="bg1">
                  <a:lumMod val="65000"/>
                </a:schemeClr>
              </a:solidFill>
              <a:latin typeface="Calibri"/>
              <a:cs typeface="Calibri"/>
            </a:rPr>
            <a:t>🛍️</a:t>
          </a:r>
        </a:p>
      </xdr:txBody>
    </xdr:sp>
    <xdr:clientData/>
  </xdr:twoCellAnchor>
  <xdr:twoCellAnchor>
    <xdr:from>
      <xdr:col>15</xdr:col>
      <xdr:colOff>547689</xdr:colOff>
      <xdr:row>4</xdr:row>
      <xdr:rowOff>174624</xdr:rowOff>
    </xdr:from>
    <xdr:to>
      <xdr:col>16</xdr:col>
      <xdr:colOff>110237</xdr:colOff>
      <xdr:row>6</xdr:row>
      <xdr:rowOff>1523</xdr:rowOff>
    </xdr:to>
    <xdr:sp macro="" textlink="">
      <xdr:nvSpPr>
        <xdr:cNvPr id="2054" name="Text Box 6">
          <a:extLst>
            <a:ext uri="{FF2B5EF4-FFF2-40B4-BE49-F238E27FC236}">
              <a16:creationId xmlns:a16="http://schemas.microsoft.com/office/drawing/2014/main" id="{1425E823-F22B-4060-92F6-D976ED069CFC}"/>
            </a:ext>
          </a:extLst>
        </xdr:cNvPr>
        <xdr:cNvSpPr txBox="1">
          <a:spLocks noChangeArrowheads="1"/>
        </xdr:cNvSpPr>
      </xdr:nvSpPr>
      <xdr:spPr bwMode="auto">
        <a:xfrm>
          <a:off x="9786939" y="1166812"/>
          <a:ext cx="173736" cy="192024"/>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r>
            <a:rPr lang="en-US" sz="800" b="0" i="0" u="none" strike="noStrike" baseline="0">
              <a:solidFill>
                <a:srgbClr val="000000"/>
              </a:solidFill>
              <a:latin typeface="Calibri"/>
              <a:cs typeface="Calibri"/>
            </a:rPr>
            <a:t>📊</a:t>
          </a:r>
        </a:p>
      </xdr:txBody>
    </xdr:sp>
    <xdr:clientData/>
  </xdr:twoCellAnchor>
  <xdr:twoCellAnchor>
    <xdr:from>
      <xdr:col>7</xdr:col>
      <xdr:colOff>285750</xdr:colOff>
      <xdr:row>4</xdr:row>
      <xdr:rowOff>134938</xdr:rowOff>
    </xdr:from>
    <xdr:to>
      <xdr:col>7</xdr:col>
      <xdr:colOff>459486</xdr:colOff>
      <xdr:row>5</xdr:row>
      <xdr:rowOff>144400</xdr:rowOff>
    </xdr:to>
    <xdr:sp macro="" textlink="">
      <xdr:nvSpPr>
        <xdr:cNvPr id="2055" name="Text Box 7">
          <a:extLst>
            <a:ext uri="{FF2B5EF4-FFF2-40B4-BE49-F238E27FC236}">
              <a16:creationId xmlns:a16="http://schemas.microsoft.com/office/drawing/2014/main" id="{4F4B3CD2-622D-4EEB-A3C3-AC812D7D8F6D}"/>
            </a:ext>
          </a:extLst>
        </xdr:cNvPr>
        <xdr:cNvSpPr txBox="1">
          <a:spLocks noChangeArrowheads="1"/>
        </xdr:cNvSpPr>
      </xdr:nvSpPr>
      <xdr:spPr bwMode="auto">
        <a:xfrm>
          <a:off x="4635500" y="1127126"/>
          <a:ext cx="173736" cy="192024"/>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Calibri"/>
              <a:cs typeface="Calibri"/>
            </a:rPr>
            <a:t>💳</a:t>
          </a:r>
        </a:p>
      </xdr:txBody>
    </xdr:sp>
    <xdr:clientData/>
  </xdr:twoCellAnchor>
  <xdr:oneCellAnchor>
    <xdr:from>
      <xdr:col>4</xdr:col>
      <xdr:colOff>244699</xdr:colOff>
      <xdr:row>5</xdr:row>
      <xdr:rowOff>166917</xdr:rowOff>
    </xdr:from>
    <xdr:ext cx="1173911" cy="405432"/>
    <xdr:sp macro="" textlink="'Pivot Analysis'!B3">
      <xdr:nvSpPr>
        <xdr:cNvPr id="11" name="TextBox 10">
          <a:extLst>
            <a:ext uri="{FF2B5EF4-FFF2-40B4-BE49-F238E27FC236}">
              <a16:creationId xmlns:a16="http://schemas.microsoft.com/office/drawing/2014/main" id="{782521E4-60F0-4EC3-9596-1488D34E84C5}"/>
            </a:ext>
          </a:extLst>
        </xdr:cNvPr>
        <xdr:cNvSpPr txBox="1"/>
      </xdr:nvSpPr>
      <xdr:spPr>
        <a:xfrm>
          <a:off x="2760887" y="1341667"/>
          <a:ext cx="117391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73816F85-F046-41BF-B641-938C4CDD4380}" type="TxLink">
            <a:rPr lang="en-US" sz="2000" b="1" i="0" u="none" strike="noStrike">
              <a:solidFill>
                <a:srgbClr val="000000"/>
              </a:solidFill>
              <a:latin typeface="Calibri"/>
              <a:cs typeface="Calibri"/>
            </a:rPr>
            <a:pPr algn="ctr"/>
            <a:t>₦338.5M</a:t>
          </a:fld>
          <a:endParaRPr lang="en-US" sz="2000"/>
        </a:p>
      </xdr:txBody>
    </xdr:sp>
    <xdr:clientData/>
  </xdr:oneCellAnchor>
  <xdr:oneCellAnchor>
    <xdr:from>
      <xdr:col>7</xdr:col>
      <xdr:colOff>231923</xdr:colOff>
      <xdr:row>5</xdr:row>
      <xdr:rowOff>166917</xdr:rowOff>
    </xdr:from>
    <xdr:ext cx="1173911" cy="405432"/>
    <xdr:sp macro="" textlink="'Pivot Analysis'!C3">
      <xdr:nvSpPr>
        <xdr:cNvPr id="12" name="TextBox 11">
          <a:extLst>
            <a:ext uri="{FF2B5EF4-FFF2-40B4-BE49-F238E27FC236}">
              <a16:creationId xmlns:a16="http://schemas.microsoft.com/office/drawing/2014/main" id="{D0DD96E3-851A-459D-80CD-B1DC2D24FF4C}"/>
            </a:ext>
          </a:extLst>
        </xdr:cNvPr>
        <xdr:cNvSpPr txBox="1"/>
      </xdr:nvSpPr>
      <xdr:spPr>
        <a:xfrm>
          <a:off x="4581673" y="1341667"/>
          <a:ext cx="117391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59A949D4-4AAF-40F3-94E8-EEAF071E2AD7}" type="TxLink">
            <a:rPr lang="en-US" sz="2000" b="1" i="0" u="none" strike="noStrike">
              <a:solidFill>
                <a:srgbClr val="000000"/>
              </a:solidFill>
              <a:latin typeface="Calibri"/>
              <a:cs typeface="Calibri"/>
            </a:rPr>
            <a:pPr algn="ctr"/>
            <a:t>₦324.4M</a:t>
          </a:fld>
          <a:endParaRPr lang="en-US" sz="2000"/>
        </a:p>
      </xdr:txBody>
    </xdr:sp>
    <xdr:clientData/>
  </xdr:oneCellAnchor>
  <xdr:oneCellAnchor>
    <xdr:from>
      <xdr:col>10</xdr:col>
      <xdr:colOff>233559</xdr:colOff>
      <xdr:row>5</xdr:row>
      <xdr:rowOff>166917</xdr:rowOff>
    </xdr:from>
    <xdr:ext cx="1043940" cy="405432"/>
    <xdr:sp macro="" textlink="'Pivot Analysis'!D3">
      <xdr:nvSpPr>
        <xdr:cNvPr id="13" name="TextBox 12">
          <a:extLst>
            <a:ext uri="{FF2B5EF4-FFF2-40B4-BE49-F238E27FC236}">
              <a16:creationId xmlns:a16="http://schemas.microsoft.com/office/drawing/2014/main" id="{77D8A9E9-E8BE-493C-A053-24C6B2D6A41A}"/>
            </a:ext>
          </a:extLst>
        </xdr:cNvPr>
        <xdr:cNvSpPr txBox="1"/>
      </xdr:nvSpPr>
      <xdr:spPr>
        <a:xfrm>
          <a:off x="6416872" y="1341667"/>
          <a:ext cx="104394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E984755B-D34C-4995-816C-EF4602705679}" type="TxLink">
            <a:rPr lang="en-US" sz="2000" b="1" i="0" u="none" strike="noStrike">
              <a:solidFill>
                <a:srgbClr val="000000"/>
              </a:solidFill>
              <a:latin typeface="Calibri"/>
              <a:cs typeface="Calibri"/>
            </a:rPr>
            <a:pPr algn="ctr"/>
            <a:t>₦14.2M</a:t>
          </a:fld>
          <a:endParaRPr lang="en-US" sz="2000"/>
        </a:p>
      </xdr:txBody>
    </xdr:sp>
    <xdr:clientData/>
  </xdr:oneCellAnchor>
  <xdr:oneCellAnchor>
    <xdr:from>
      <xdr:col>13</xdr:col>
      <xdr:colOff>329309</xdr:colOff>
      <xdr:row>5</xdr:row>
      <xdr:rowOff>166917</xdr:rowOff>
    </xdr:from>
    <xdr:ext cx="770660" cy="405432"/>
    <xdr:sp macro="" textlink="'Pivot Analysis'!E3">
      <xdr:nvSpPr>
        <xdr:cNvPr id="16" name="TextBox 15">
          <a:extLst>
            <a:ext uri="{FF2B5EF4-FFF2-40B4-BE49-F238E27FC236}">
              <a16:creationId xmlns:a16="http://schemas.microsoft.com/office/drawing/2014/main" id="{C3474CB3-A953-4F41-A4FB-A9D24A8025E5}"/>
            </a:ext>
          </a:extLst>
        </xdr:cNvPr>
        <xdr:cNvSpPr txBox="1"/>
      </xdr:nvSpPr>
      <xdr:spPr>
        <a:xfrm>
          <a:off x="8346184" y="1341667"/>
          <a:ext cx="77066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6BE12692-8322-4D84-AA80-E8D52E76ED97}" type="TxLink">
            <a:rPr lang="en-US" sz="2000" b="1" i="0" u="none" strike="noStrike">
              <a:solidFill>
                <a:srgbClr val="000000"/>
              </a:solidFill>
              <a:latin typeface="Calibri"/>
              <a:cs typeface="Calibri"/>
            </a:rPr>
            <a:pPr algn="ctr"/>
            <a:t>3,825</a:t>
          </a:fld>
          <a:endParaRPr lang="en-US" sz="2000"/>
        </a:p>
      </xdr:txBody>
    </xdr:sp>
    <xdr:clientData/>
  </xdr:oneCellAnchor>
  <xdr:oneCellAnchor>
    <xdr:from>
      <xdr:col>16</xdr:col>
      <xdr:colOff>234394</xdr:colOff>
      <xdr:row>5</xdr:row>
      <xdr:rowOff>166917</xdr:rowOff>
    </xdr:from>
    <xdr:ext cx="830035" cy="405432"/>
    <xdr:sp macro="" textlink="'Pivot Analysis'!F3">
      <xdr:nvSpPr>
        <xdr:cNvPr id="17" name="TextBox 16">
          <a:extLst>
            <a:ext uri="{FF2B5EF4-FFF2-40B4-BE49-F238E27FC236}">
              <a16:creationId xmlns:a16="http://schemas.microsoft.com/office/drawing/2014/main" id="{D8BBC094-B7D2-4D0C-AEA8-B0AAE5C1CCFF}"/>
            </a:ext>
          </a:extLst>
        </xdr:cNvPr>
        <xdr:cNvSpPr txBox="1"/>
      </xdr:nvSpPr>
      <xdr:spPr>
        <a:xfrm>
          <a:off x="10084832" y="1341667"/>
          <a:ext cx="83003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07396E9D-F570-4002-B94B-66D8A5A8A1D0}" type="TxLink">
            <a:rPr lang="en-US" sz="2000" b="1" i="0" u="none" strike="noStrike">
              <a:solidFill>
                <a:srgbClr val="000000"/>
              </a:solidFill>
              <a:latin typeface="Calibri"/>
              <a:cs typeface="Calibri"/>
            </a:rPr>
            <a:pPr algn="ctr"/>
            <a:t>5.18%</a:t>
          </a:fld>
          <a:endParaRPr lang="en-US" sz="2000"/>
        </a:p>
      </xdr:txBody>
    </xdr:sp>
    <xdr:clientData/>
  </xdr:oneCellAnchor>
  <xdr:twoCellAnchor>
    <xdr:from>
      <xdr:col>20</xdr:col>
      <xdr:colOff>508</xdr:colOff>
      <xdr:row>4</xdr:row>
      <xdr:rowOff>0</xdr:rowOff>
    </xdr:from>
    <xdr:to>
      <xdr:col>21</xdr:col>
      <xdr:colOff>595821</xdr:colOff>
      <xdr:row>9</xdr:row>
      <xdr:rowOff>119063</xdr:rowOff>
    </xdr:to>
    <mc:AlternateContent xmlns:mc="http://schemas.openxmlformats.org/markup-compatibility/2006">
      <mc:Choice xmlns:a14="http://schemas.microsoft.com/office/drawing/2010/main" Requires="a14">
        <xdr:graphicFrame macro="">
          <xdr:nvGraphicFramePr>
            <xdr:cNvPr id="43" name="Country 1">
              <a:extLst>
                <a:ext uri="{FF2B5EF4-FFF2-40B4-BE49-F238E27FC236}">
                  <a16:creationId xmlns:a16="http://schemas.microsoft.com/office/drawing/2014/main" id="{BE332B09-3C46-4E30-8D09-42BB604F4E59}"/>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2295696" y="992188"/>
              <a:ext cx="1206500" cy="1031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0</xdr:colOff>
      <xdr:row>10</xdr:row>
      <xdr:rowOff>2</xdr:rowOff>
    </xdr:from>
    <xdr:to>
      <xdr:col>21</xdr:col>
      <xdr:colOff>595821</xdr:colOff>
      <xdr:row>15</xdr:row>
      <xdr:rowOff>120462</xdr:rowOff>
    </xdr:to>
    <mc:AlternateContent xmlns:mc="http://schemas.openxmlformats.org/markup-compatibility/2006">
      <mc:Choice xmlns:a14="http://schemas.microsoft.com/office/drawing/2010/main" Requires="a14">
        <xdr:graphicFrame macro="">
          <xdr:nvGraphicFramePr>
            <xdr:cNvPr id="47" name="Product 3">
              <a:extLst>
                <a:ext uri="{FF2B5EF4-FFF2-40B4-BE49-F238E27FC236}">
                  <a16:creationId xmlns:a16="http://schemas.microsoft.com/office/drawing/2014/main" id="{2BEBF755-9696-49B4-9A78-C85F07ACC178}"/>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dr:sp macro="" textlink="">
          <xdr:nvSpPr>
            <xdr:cNvPr id="0" name=""/>
            <xdr:cNvSpPr>
              <a:spLocks noTextEdit="1"/>
            </xdr:cNvSpPr>
          </xdr:nvSpPr>
          <xdr:spPr>
            <a:xfrm>
              <a:off x="12295188" y="2087565"/>
              <a:ext cx="1207008" cy="10332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440478</xdr:colOff>
      <xdr:row>21</xdr:row>
      <xdr:rowOff>67990</xdr:rowOff>
    </xdr:from>
    <xdr:to>
      <xdr:col>8</xdr:col>
      <xdr:colOff>310620</xdr:colOff>
      <xdr:row>31</xdr:row>
      <xdr:rowOff>34589</xdr:rowOff>
    </xdr:to>
    <xdr:graphicFrame macro="">
      <xdr:nvGraphicFramePr>
        <xdr:cNvPr id="27" name="Chart 26">
          <a:extLst>
            <a:ext uri="{FF2B5EF4-FFF2-40B4-BE49-F238E27FC236}">
              <a16:creationId xmlns:a16="http://schemas.microsoft.com/office/drawing/2014/main" id="{EBA01116-5047-4132-8396-E5CA96053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440478</xdr:colOff>
      <xdr:row>10</xdr:row>
      <xdr:rowOff>0</xdr:rowOff>
    </xdr:from>
    <xdr:to>
      <xdr:col>8</xdr:col>
      <xdr:colOff>310620</xdr:colOff>
      <xdr:row>19</xdr:row>
      <xdr:rowOff>149162</xdr:rowOff>
    </xdr:to>
    <xdr:graphicFrame macro="">
      <xdr:nvGraphicFramePr>
        <xdr:cNvPr id="48" name="Chart 47">
          <a:extLst>
            <a:ext uri="{FF2B5EF4-FFF2-40B4-BE49-F238E27FC236}">
              <a16:creationId xmlns:a16="http://schemas.microsoft.com/office/drawing/2014/main" id="{2284C690-74E3-4D3E-970E-66E929AFA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67.351164120373" createdVersion="7" refreshedVersion="7" minRefreshableVersion="3" recordCount="475" xr:uid="{0ECFC2CC-3B25-46F4-9D92-C7F3B008FBEB}">
  <cacheSource type="worksheet">
    <worksheetSource name="Zen_Elite_Shoe_Sales"/>
  </cacheSource>
  <cacheFields count="16">
    <cacheField name="Date" numFmtId="166">
      <sharedItems containsSemiMixedTypes="0" containsNonDate="0" containsDate="1" containsString="0" minDate="2026-01-01T00:00:00" maxDate="2027-04-21T00:00:00"/>
    </cacheField>
    <cacheField name="Product" numFmtId="49">
      <sharedItems count="8">
        <s v="Derby"/>
        <s v="Canvas"/>
        <s v="Slippers"/>
        <s v="Loafers"/>
        <s v="Boots"/>
        <s v="Oxford"/>
        <s v="Brogues"/>
        <s v="Monk Straps"/>
      </sharedItems>
    </cacheField>
    <cacheField name="Category" numFmtId="49">
      <sharedItems count="4">
        <s v="Formal"/>
        <s v="Casual"/>
        <s v="Open"/>
        <s v="Utility"/>
      </sharedItems>
    </cacheField>
    <cacheField name="Color" numFmtId="49">
      <sharedItems/>
    </cacheField>
    <cacheField name="Brand" numFmtId="49">
      <sharedItems count="5">
        <s v="Clarks"/>
        <s v="Steve Madden"/>
        <s v="Nike"/>
        <s v="Zara"/>
        <s v="Timberland"/>
      </sharedItems>
    </cacheField>
    <cacheField name="Country" numFmtId="49">
      <sharedItems count="14">
        <s v="Nigeria"/>
        <s v="Uganda"/>
        <s v="Ghana"/>
        <s v="UK"/>
        <s v="USA"/>
        <s v="Kenya"/>
        <s v="India"/>
        <s v="Germany"/>
        <s v="Albania"/>
        <s v="Cyprus"/>
        <s v="Australia"/>
        <s v="Canada"/>
        <s v="Philippines"/>
        <s v="Zimbabwe"/>
      </sharedItems>
    </cacheField>
    <cacheField name="Quantity" numFmtId="1">
      <sharedItems containsSemiMixedTypes="0" containsString="0" containsNumber="1" containsInteger="1" minValue="1" maxValue="15"/>
    </cacheField>
    <cacheField name="Unit Cost" numFmtId="165">
      <sharedItems containsSemiMixedTypes="0" containsString="0" containsNumber="1" containsInteger="1" minValue="39000" maxValue="140000"/>
    </cacheField>
    <cacheField name="Unit Price" numFmtId="165">
      <sharedItems containsSemiMixedTypes="0" containsString="0" containsNumber="1" containsInteger="1" minValue="44000" maxValue="141800"/>
    </cacheField>
    <cacheField name="Revenue" numFmtId="165">
      <sharedItems containsSemiMixedTypes="0" containsString="0" containsNumber="1" containsInteger="1" minValue="55000" maxValue="2082000"/>
    </cacheField>
    <cacheField name=" Cost" numFmtId="165">
      <sharedItems containsSemiMixedTypes="0" containsString="0" containsNumber="1" containsInteger="1" minValue="50000" maxValue="2055000"/>
    </cacheField>
    <cacheField name="Profit" numFmtId="165">
      <sharedItems containsSemiMixedTypes="0" containsString="0" containsNumber="1" containsInteger="1" minValue="1800" maxValue="97500"/>
    </cacheField>
    <cacheField name="Profit Margin" numFmtId="167">
      <sharedItems containsSemiMixedTypes="0" containsString="0" containsNumber="1" minValue="1.2693935119887164E-2" maxValue="0.11363636363636363"/>
    </cacheField>
    <cacheField name="Sales Volume" numFmtId="0">
      <sharedItems count="2">
        <s v="Low-Volume"/>
        <s v="High-Volume"/>
      </sharedItems>
    </cacheField>
    <cacheField name="Product Category" numFmtId="0">
      <sharedItems count="2">
        <s v="Premium"/>
        <s v="Standard"/>
      </sharedItems>
    </cacheField>
    <cacheField name="Performance level" numFmtId="0">
      <sharedItems/>
    </cacheField>
  </cacheFields>
  <extLst>
    <ext xmlns:x14="http://schemas.microsoft.com/office/spreadsheetml/2009/9/main" uri="{725AE2AE-9491-48be-B2B4-4EB974FC3084}">
      <x14:pivotCacheDefinition pivotCacheId="2618296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d v="2026-01-01T00:00:00"/>
    <x v="0"/>
    <x v="0"/>
    <s v="Black"/>
    <x v="0"/>
    <x v="0"/>
    <n v="3"/>
    <n v="110000"/>
    <n v="111800"/>
    <n v="335400"/>
    <n v="330000"/>
    <n v="5400"/>
    <n v="1.6100178890876567E-2"/>
    <x v="0"/>
    <x v="0"/>
    <s v="Average Performer"/>
  </r>
  <r>
    <d v="2026-01-02T00:00:00"/>
    <x v="1"/>
    <x v="1"/>
    <s v="Brown"/>
    <x v="1"/>
    <x v="1"/>
    <n v="8"/>
    <n v="67000"/>
    <n v="73500"/>
    <n v="588000"/>
    <n v="536000"/>
    <n v="52000"/>
    <n v="8.8435374149659865E-2"/>
    <x v="0"/>
    <x v="1"/>
    <s v="Average Performer"/>
  </r>
  <r>
    <d v="2026-01-03T00:00:00"/>
    <x v="2"/>
    <x v="2"/>
    <s v="Red"/>
    <x v="2"/>
    <x v="2"/>
    <n v="7"/>
    <n v="44000"/>
    <n v="49000"/>
    <n v="343000"/>
    <n v="308000"/>
    <n v="35000"/>
    <n v="0.10204081632653061"/>
    <x v="0"/>
    <x v="1"/>
    <s v="Average Performer"/>
  </r>
  <r>
    <d v="2026-01-04T00:00:00"/>
    <x v="3"/>
    <x v="1"/>
    <s v="Blue"/>
    <x v="3"/>
    <x v="3"/>
    <n v="6"/>
    <n v="73000"/>
    <n v="76000"/>
    <n v="456000"/>
    <n v="438000"/>
    <n v="18000"/>
    <n v="3.9473684210526314E-2"/>
    <x v="0"/>
    <x v="1"/>
    <s v="Average Performer"/>
  </r>
  <r>
    <d v="2026-01-05T00:00:00"/>
    <x v="4"/>
    <x v="3"/>
    <s v="Green"/>
    <x v="4"/>
    <x v="4"/>
    <n v="14"/>
    <n v="70000"/>
    <n v="76500"/>
    <n v="1071000"/>
    <n v="980000"/>
    <n v="91000"/>
    <n v="8.4967320261437912E-2"/>
    <x v="1"/>
    <x v="1"/>
    <s v="Top Performer"/>
  </r>
  <r>
    <d v="2026-01-06T00:00:00"/>
    <x v="5"/>
    <x v="0"/>
    <s v="Black"/>
    <x v="0"/>
    <x v="5"/>
    <n v="11"/>
    <n v="118000"/>
    <n v="119800"/>
    <n v="1317800"/>
    <n v="1298000"/>
    <n v="19800"/>
    <n v="1.5025041736227046E-2"/>
    <x v="1"/>
    <x v="0"/>
    <s v="Top Performer"/>
  </r>
  <r>
    <d v="2026-01-07T00:00:00"/>
    <x v="6"/>
    <x v="0"/>
    <s v="Brown"/>
    <x v="0"/>
    <x v="6"/>
    <n v="7"/>
    <n v="86000"/>
    <n v="87800"/>
    <n v="614600"/>
    <n v="602000"/>
    <n v="12600"/>
    <n v="2.0501138952164009E-2"/>
    <x v="0"/>
    <x v="1"/>
    <s v="Average Performer"/>
  </r>
  <r>
    <d v="2026-01-08T00:00:00"/>
    <x v="7"/>
    <x v="0"/>
    <s v="Red"/>
    <x v="3"/>
    <x v="7"/>
    <n v="13"/>
    <n v="124000"/>
    <n v="125800"/>
    <n v="1635400"/>
    <n v="1612000"/>
    <n v="23400"/>
    <n v="1.4308426073131956E-2"/>
    <x v="1"/>
    <x v="0"/>
    <s v="Top Performer"/>
  </r>
  <r>
    <d v="2026-01-09T00:00:00"/>
    <x v="0"/>
    <x v="0"/>
    <s v="Blue"/>
    <x v="0"/>
    <x v="8"/>
    <n v="8"/>
    <n v="136000"/>
    <n v="137800"/>
    <n v="1102400"/>
    <n v="1088000"/>
    <n v="14400"/>
    <n v="1.3062409288824383E-2"/>
    <x v="0"/>
    <x v="0"/>
    <s v="Top Performer"/>
  </r>
  <r>
    <d v="2026-01-10T00:00:00"/>
    <x v="1"/>
    <x v="1"/>
    <s v="Green"/>
    <x v="1"/>
    <x v="9"/>
    <n v="12"/>
    <n v="60000"/>
    <n v="66000"/>
    <n v="792000"/>
    <n v="720000"/>
    <n v="72000"/>
    <n v="9.0909090909090912E-2"/>
    <x v="1"/>
    <x v="1"/>
    <s v="Average Performer"/>
  </r>
  <r>
    <d v="2026-01-11T00:00:00"/>
    <x v="2"/>
    <x v="2"/>
    <s v="Black"/>
    <x v="2"/>
    <x v="10"/>
    <n v="9"/>
    <n v="43000"/>
    <n v="48000"/>
    <n v="432000"/>
    <n v="387000"/>
    <n v="45000"/>
    <n v="0.10416666666666667"/>
    <x v="0"/>
    <x v="1"/>
    <s v="Average Performer"/>
  </r>
  <r>
    <d v="2026-01-12T00:00:00"/>
    <x v="3"/>
    <x v="1"/>
    <s v="Brown"/>
    <x v="3"/>
    <x v="11"/>
    <n v="6"/>
    <n v="72000"/>
    <n v="75000"/>
    <n v="450000"/>
    <n v="432000"/>
    <n v="18000"/>
    <n v="0.04"/>
    <x v="0"/>
    <x v="1"/>
    <s v="Average Performer"/>
  </r>
  <r>
    <d v="2026-01-13T00:00:00"/>
    <x v="4"/>
    <x v="3"/>
    <s v="Red"/>
    <x v="4"/>
    <x v="12"/>
    <n v="6"/>
    <n v="58000"/>
    <n v="64000"/>
    <n v="384000"/>
    <n v="348000"/>
    <n v="36000"/>
    <n v="9.375E-2"/>
    <x v="0"/>
    <x v="1"/>
    <s v="Average Performer"/>
  </r>
  <r>
    <d v="2026-01-14T00:00:00"/>
    <x v="5"/>
    <x v="0"/>
    <s v="Blue"/>
    <x v="0"/>
    <x v="13"/>
    <n v="3"/>
    <n v="93000"/>
    <n v="94800"/>
    <n v="284400"/>
    <n v="279000"/>
    <n v="5400"/>
    <n v="1.8987341772151899E-2"/>
    <x v="0"/>
    <x v="1"/>
    <s v="Average Performer"/>
  </r>
  <r>
    <d v="2026-01-15T00:00:00"/>
    <x v="6"/>
    <x v="0"/>
    <s v="Green"/>
    <x v="0"/>
    <x v="0"/>
    <n v="11"/>
    <n v="96000"/>
    <n v="97800"/>
    <n v="1075800"/>
    <n v="1056000"/>
    <n v="19800"/>
    <n v="1.8404907975460124E-2"/>
    <x v="1"/>
    <x v="1"/>
    <s v="Top Performer"/>
  </r>
  <r>
    <d v="2026-01-16T00:00:00"/>
    <x v="7"/>
    <x v="0"/>
    <s v="Black"/>
    <x v="3"/>
    <x v="1"/>
    <n v="7"/>
    <n v="135000"/>
    <n v="136800"/>
    <n v="957600"/>
    <n v="945000"/>
    <n v="12600"/>
    <n v="1.3157894736842105E-2"/>
    <x v="0"/>
    <x v="0"/>
    <s v="Average Performer"/>
  </r>
  <r>
    <d v="2026-01-17T00:00:00"/>
    <x v="0"/>
    <x v="0"/>
    <s v="Brown"/>
    <x v="0"/>
    <x v="2"/>
    <n v="13"/>
    <n v="105000"/>
    <n v="106800"/>
    <n v="1388400"/>
    <n v="1365000"/>
    <n v="23400"/>
    <n v="1.6853932584269662E-2"/>
    <x v="1"/>
    <x v="0"/>
    <s v="Top Performer"/>
  </r>
  <r>
    <d v="2026-01-18T00:00:00"/>
    <x v="1"/>
    <x v="1"/>
    <s v="Red"/>
    <x v="1"/>
    <x v="3"/>
    <n v="11"/>
    <n v="64000"/>
    <n v="70500"/>
    <n v="775500"/>
    <n v="704000"/>
    <n v="71500"/>
    <n v="9.2198581560283682E-2"/>
    <x v="1"/>
    <x v="1"/>
    <s v="Average Performer"/>
  </r>
  <r>
    <d v="2026-01-19T00:00:00"/>
    <x v="2"/>
    <x v="2"/>
    <s v="Blue"/>
    <x v="2"/>
    <x v="4"/>
    <n v="10"/>
    <n v="53000"/>
    <n v="59000"/>
    <n v="590000"/>
    <n v="530000"/>
    <n v="60000"/>
    <n v="0.10169491525423729"/>
    <x v="0"/>
    <x v="1"/>
    <s v="Average Performer"/>
  </r>
  <r>
    <d v="2026-01-20T00:00:00"/>
    <x v="3"/>
    <x v="1"/>
    <s v="Green"/>
    <x v="3"/>
    <x v="5"/>
    <n v="14"/>
    <n v="53000"/>
    <n v="59000"/>
    <n v="826000"/>
    <n v="742000"/>
    <n v="84000"/>
    <n v="0.10169491525423729"/>
    <x v="1"/>
    <x v="1"/>
    <s v="Average Performer"/>
  </r>
  <r>
    <d v="2026-01-21T00:00:00"/>
    <x v="4"/>
    <x v="3"/>
    <s v="Black"/>
    <x v="4"/>
    <x v="6"/>
    <n v="11"/>
    <n v="57000"/>
    <n v="63000"/>
    <n v="693000"/>
    <n v="627000"/>
    <n v="66000"/>
    <n v="9.5238095238095233E-2"/>
    <x v="1"/>
    <x v="1"/>
    <s v="Average Performer"/>
  </r>
  <r>
    <d v="2026-01-22T00:00:00"/>
    <x v="5"/>
    <x v="0"/>
    <s v="Brown"/>
    <x v="0"/>
    <x v="7"/>
    <n v="14"/>
    <n v="122000"/>
    <n v="123800"/>
    <n v="1733200"/>
    <n v="1708000"/>
    <n v="25200"/>
    <n v="1.4539579967689823E-2"/>
    <x v="1"/>
    <x v="0"/>
    <s v="Top Performer"/>
  </r>
  <r>
    <d v="2026-01-23T00:00:00"/>
    <x v="6"/>
    <x v="0"/>
    <s v="Red"/>
    <x v="0"/>
    <x v="8"/>
    <n v="9"/>
    <n v="113000"/>
    <n v="114800"/>
    <n v="1033200"/>
    <n v="1017000"/>
    <n v="16200"/>
    <n v="1.5679442508710801E-2"/>
    <x v="0"/>
    <x v="0"/>
    <s v="Top Performer"/>
  </r>
  <r>
    <d v="2026-01-24T00:00:00"/>
    <x v="7"/>
    <x v="0"/>
    <s v="Blue"/>
    <x v="3"/>
    <x v="9"/>
    <n v="9"/>
    <n v="121000"/>
    <n v="122800"/>
    <n v="1105200"/>
    <n v="1089000"/>
    <n v="16200"/>
    <n v="1.4657980456026058E-2"/>
    <x v="0"/>
    <x v="0"/>
    <s v="Top Performer"/>
  </r>
  <r>
    <d v="2026-01-25T00:00:00"/>
    <x v="0"/>
    <x v="0"/>
    <s v="Green"/>
    <x v="0"/>
    <x v="10"/>
    <n v="13"/>
    <n v="114000"/>
    <n v="115800"/>
    <n v="1505400"/>
    <n v="1482000"/>
    <n v="23400"/>
    <n v="1.5544041450777202E-2"/>
    <x v="1"/>
    <x v="0"/>
    <s v="Top Performer"/>
  </r>
  <r>
    <d v="2026-01-26T00:00:00"/>
    <x v="1"/>
    <x v="1"/>
    <s v="Black"/>
    <x v="1"/>
    <x v="11"/>
    <n v="4"/>
    <n v="62000"/>
    <n v="68500"/>
    <n v="274000"/>
    <n v="248000"/>
    <n v="26000"/>
    <n v="9.4890510948905105E-2"/>
    <x v="0"/>
    <x v="1"/>
    <s v="Average Performer"/>
  </r>
  <r>
    <d v="2026-01-27T00:00:00"/>
    <x v="2"/>
    <x v="2"/>
    <s v="Brown"/>
    <x v="2"/>
    <x v="12"/>
    <n v="13"/>
    <n v="47000"/>
    <n v="52000"/>
    <n v="676000"/>
    <n v="611000"/>
    <n v="65000"/>
    <n v="9.6153846153846159E-2"/>
    <x v="1"/>
    <x v="1"/>
    <s v="Average Performer"/>
  </r>
  <r>
    <d v="2026-01-28T00:00:00"/>
    <x v="3"/>
    <x v="1"/>
    <s v="Red"/>
    <x v="3"/>
    <x v="13"/>
    <n v="12"/>
    <n v="63000"/>
    <n v="69500"/>
    <n v="834000"/>
    <n v="756000"/>
    <n v="78000"/>
    <n v="9.3525179856115109E-2"/>
    <x v="1"/>
    <x v="1"/>
    <s v="Average Performer"/>
  </r>
  <r>
    <d v="2026-01-29T00:00:00"/>
    <x v="4"/>
    <x v="3"/>
    <s v="Blue"/>
    <x v="4"/>
    <x v="0"/>
    <n v="12"/>
    <n v="58000"/>
    <n v="64000"/>
    <n v="768000"/>
    <n v="696000"/>
    <n v="72000"/>
    <n v="9.375E-2"/>
    <x v="1"/>
    <x v="1"/>
    <s v="Average Performer"/>
  </r>
  <r>
    <d v="2026-01-30T00:00:00"/>
    <x v="5"/>
    <x v="0"/>
    <s v="Green"/>
    <x v="0"/>
    <x v="1"/>
    <n v="3"/>
    <n v="93000"/>
    <n v="94800"/>
    <n v="284400"/>
    <n v="279000"/>
    <n v="5400"/>
    <n v="1.8987341772151899E-2"/>
    <x v="0"/>
    <x v="1"/>
    <s v="Average Performer"/>
  </r>
  <r>
    <d v="2026-01-31T00:00:00"/>
    <x v="6"/>
    <x v="0"/>
    <s v="Black"/>
    <x v="0"/>
    <x v="2"/>
    <n v="10"/>
    <n v="94000"/>
    <n v="95800"/>
    <n v="958000"/>
    <n v="940000"/>
    <n v="18000"/>
    <n v="1.8789144050104383E-2"/>
    <x v="0"/>
    <x v="1"/>
    <s v="Average Performer"/>
  </r>
  <r>
    <d v="2026-02-01T00:00:00"/>
    <x v="7"/>
    <x v="0"/>
    <s v="Brown"/>
    <x v="3"/>
    <x v="3"/>
    <n v="8"/>
    <n v="109000"/>
    <n v="110800"/>
    <n v="886400"/>
    <n v="872000"/>
    <n v="14400"/>
    <n v="1.6245487364620937E-2"/>
    <x v="0"/>
    <x v="0"/>
    <s v="Average Performer"/>
  </r>
  <r>
    <d v="2026-02-02T00:00:00"/>
    <x v="0"/>
    <x v="0"/>
    <s v="Red"/>
    <x v="0"/>
    <x v="4"/>
    <n v="3"/>
    <n v="129000"/>
    <n v="130800"/>
    <n v="392400"/>
    <n v="387000"/>
    <n v="5400"/>
    <n v="1.3761467889908258E-2"/>
    <x v="0"/>
    <x v="0"/>
    <s v="Average Performer"/>
  </r>
  <r>
    <d v="2026-02-03T00:00:00"/>
    <x v="1"/>
    <x v="1"/>
    <s v="Blue"/>
    <x v="1"/>
    <x v="5"/>
    <n v="10"/>
    <n v="69000"/>
    <n v="75500"/>
    <n v="755000"/>
    <n v="690000"/>
    <n v="65000"/>
    <n v="8.6092715231788075E-2"/>
    <x v="0"/>
    <x v="1"/>
    <s v="Average Performer"/>
  </r>
  <r>
    <d v="2026-02-04T00:00:00"/>
    <x v="2"/>
    <x v="2"/>
    <s v="Green"/>
    <x v="2"/>
    <x v="6"/>
    <n v="4"/>
    <n v="49000"/>
    <n v="54000"/>
    <n v="216000"/>
    <n v="196000"/>
    <n v="20000"/>
    <n v="9.2592592592592587E-2"/>
    <x v="0"/>
    <x v="1"/>
    <s v="Average Performer"/>
  </r>
  <r>
    <d v="2026-02-05T00:00:00"/>
    <x v="3"/>
    <x v="1"/>
    <s v="Black"/>
    <x v="3"/>
    <x v="7"/>
    <n v="4"/>
    <n v="59000"/>
    <n v="65000"/>
    <n v="260000"/>
    <n v="236000"/>
    <n v="24000"/>
    <n v="9.2307692307692313E-2"/>
    <x v="0"/>
    <x v="1"/>
    <s v="Average Performer"/>
  </r>
  <r>
    <d v="2026-02-06T00:00:00"/>
    <x v="4"/>
    <x v="3"/>
    <s v="Brown"/>
    <x v="4"/>
    <x v="8"/>
    <n v="5"/>
    <n v="72000"/>
    <n v="75000"/>
    <n v="375000"/>
    <n v="360000"/>
    <n v="15000"/>
    <n v="0.04"/>
    <x v="0"/>
    <x v="1"/>
    <s v="Average Performer"/>
  </r>
  <r>
    <d v="2026-02-07T00:00:00"/>
    <x v="5"/>
    <x v="0"/>
    <s v="Red"/>
    <x v="0"/>
    <x v="9"/>
    <n v="14"/>
    <n v="120000"/>
    <n v="121800"/>
    <n v="1705200"/>
    <n v="1680000"/>
    <n v="25200"/>
    <n v="1.4778325123152709E-2"/>
    <x v="1"/>
    <x v="0"/>
    <s v="Top Performer"/>
  </r>
  <r>
    <d v="2026-02-08T00:00:00"/>
    <x v="6"/>
    <x v="0"/>
    <s v="Blue"/>
    <x v="0"/>
    <x v="10"/>
    <n v="8"/>
    <n v="97000"/>
    <n v="98800"/>
    <n v="790400"/>
    <n v="776000"/>
    <n v="14400"/>
    <n v="1.8218623481781375E-2"/>
    <x v="0"/>
    <x v="1"/>
    <s v="Average Performer"/>
  </r>
  <r>
    <d v="2026-02-09T00:00:00"/>
    <x v="7"/>
    <x v="0"/>
    <s v="Green"/>
    <x v="3"/>
    <x v="11"/>
    <n v="5"/>
    <n v="122000"/>
    <n v="123800"/>
    <n v="619000"/>
    <n v="610000"/>
    <n v="9000"/>
    <n v="1.4539579967689823E-2"/>
    <x v="0"/>
    <x v="0"/>
    <s v="Average Performer"/>
  </r>
  <r>
    <d v="2026-02-10T00:00:00"/>
    <x v="0"/>
    <x v="0"/>
    <s v="Black"/>
    <x v="0"/>
    <x v="12"/>
    <n v="11"/>
    <n v="108000"/>
    <n v="109800"/>
    <n v="1207800"/>
    <n v="1188000"/>
    <n v="19800"/>
    <n v="1.6393442622950821E-2"/>
    <x v="1"/>
    <x v="0"/>
    <s v="Top Performer"/>
  </r>
  <r>
    <d v="2026-02-11T00:00:00"/>
    <x v="1"/>
    <x v="1"/>
    <s v="Brown"/>
    <x v="1"/>
    <x v="13"/>
    <n v="13"/>
    <n v="65000"/>
    <n v="71500"/>
    <n v="929500"/>
    <n v="845000"/>
    <n v="84500"/>
    <n v="9.0909090909090912E-2"/>
    <x v="1"/>
    <x v="1"/>
    <s v="Average Performer"/>
  </r>
  <r>
    <d v="2026-02-12T00:00:00"/>
    <x v="2"/>
    <x v="2"/>
    <s v="Red"/>
    <x v="2"/>
    <x v="0"/>
    <n v="7"/>
    <n v="48000"/>
    <n v="53000"/>
    <n v="371000"/>
    <n v="336000"/>
    <n v="35000"/>
    <n v="9.4339622641509441E-2"/>
    <x v="0"/>
    <x v="1"/>
    <s v="Average Performer"/>
  </r>
  <r>
    <d v="2026-02-13T00:00:00"/>
    <x v="3"/>
    <x v="1"/>
    <s v="Blue"/>
    <x v="3"/>
    <x v="1"/>
    <n v="7"/>
    <n v="71000"/>
    <n v="74000"/>
    <n v="518000"/>
    <n v="497000"/>
    <n v="21000"/>
    <n v="4.0540540540540543E-2"/>
    <x v="0"/>
    <x v="1"/>
    <s v="Average Performer"/>
  </r>
  <r>
    <d v="2026-02-14T00:00:00"/>
    <x v="4"/>
    <x v="3"/>
    <s v="Green"/>
    <x v="4"/>
    <x v="2"/>
    <n v="9"/>
    <n v="62000"/>
    <n v="68500"/>
    <n v="616500"/>
    <n v="558000"/>
    <n v="58500"/>
    <n v="9.4890510948905105E-2"/>
    <x v="0"/>
    <x v="1"/>
    <s v="Average Performer"/>
  </r>
  <r>
    <d v="2026-02-15T00:00:00"/>
    <x v="5"/>
    <x v="0"/>
    <s v="Black"/>
    <x v="0"/>
    <x v="3"/>
    <n v="8"/>
    <n v="101000"/>
    <n v="102800"/>
    <n v="822400"/>
    <n v="808000"/>
    <n v="14400"/>
    <n v="1.7509727626459144E-2"/>
    <x v="0"/>
    <x v="0"/>
    <s v="Average Performer"/>
  </r>
  <r>
    <d v="2026-02-16T00:00:00"/>
    <x v="6"/>
    <x v="0"/>
    <s v="Brown"/>
    <x v="0"/>
    <x v="4"/>
    <n v="3"/>
    <n v="104000"/>
    <n v="105800"/>
    <n v="317400"/>
    <n v="312000"/>
    <n v="5400"/>
    <n v="1.7013232514177693E-2"/>
    <x v="0"/>
    <x v="0"/>
    <s v="Average Performer"/>
  </r>
  <r>
    <d v="2026-02-17T00:00:00"/>
    <x v="7"/>
    <x v="0"/>
    <s v="Red"/>
    <x v="3"/>
    <x v="5"/>
    <n v="14"/>
    <n v="119000"/>
    <n v="120800"/>
    <n v="1691200"/>
    <n v="1666000"/>
    <n v="25200"/>
    <n v="1.4900662251655629E-2"/>
    <x v="1"/>
    <x v="0"/>
    <s v="Top Performer"/>
  </r>
  <r>
    <d v="2026-02-18T00:00:00"/>
    <x v="0"/>
    <x v="0"/>
    <s v="Blue"/>
    <x v="0"/>
    <x v="6"/>
    <n v="14"/>
    <n v="121000"/>
    <n v="122800"/>
    <n v="1719200"/>
    <n v="1694000"/>
    <n v="25200"/>
    <n v="1.4657980456026058E-2"/>
    <x v="1"/>
    <x v="0"/>
    <s v="Top Performer"/>
  </r>
  <r>
    <d v="2026-02-19T00:00:00"/>
    <x v="1"/>
    <x v="1"/>
    <s v="Green"/>
    <x v="1"/>
    <x v="7"/>
    <n v="3"/>
    <n v="69000"/>
    <n v="75500"/>
    <n v="226500"/>
    <n v="207000"/>
    <n v="19500"/>
    <n v="8.6092715231788075E-2"/>
    <x v="0"/>
    <x v="1"/>
    <s v="Average Performer"/>
  </r>
  <r>
    <d v="2026-02-20T00:00:00"/>
    <x v="2"/>
    <x v="2"/>
    <s v="Black"/>
    <x v="2"/>
    <x v="8"/>
    <n v="14"/>
    <n v="48000"/>
    <n v="53000"/>
    <n v="742000"/>
    <n v="672000"/>
    <n v="70000"/>
    <n v="9.4339622641509441E-2"/>
    <x v="1"/>
    <x v="1"/>
    <s v="Average Performer"/>
  </r>
  <r>
    <d v="2026-02-21T00:00:00"/>
    <x v="3"/>
    <x v="1"/>
    <s v="Brown"/>
    <x v="3"/>
    <x v="9"/>
    <n v="6"/>
    <n v="70000"/>
    <n v="76500"/>
    <n v="459000"/>
    <n v="420000"/>
    <n v="39000"/>
    <n v="8.4967320261437912E-2"/>
    <x v="0"/>
    <x v="1"/>
    <s v="Average Performer"/>
  </r>
  <r>
    <d v="2026-02-22T00:00:00"/>
    <x v="4"/>
    <x v="3"/>
    <s v="Red"/>
    <x v="4"/>
    <x v="10"/>
    <n v="7"/>
    <n v="76000"/>
    <n v="79000"/>
    <n v="553000"/>
    <n v="532000"/>
    <n v="21000"/>
    <n v="3.7974683544303799E-2"/>
    <x v="0"/>
    <x v="1"/>
    <s v="Average Performer"/>
  </r>
  <r>
    <d v="2026-02-23T00:00:00"/>
    <x v="5"/>
    <x v="0"/>
    <s v="Blue"/>
    <x v="0"/>
    <x v="11"/>
    <n v="15"/>
    <n v="112000"/>
    <n v="113800"/>
    <n v="1707000"/>
    <n v="1680000"/>
    <n v="27000"/>
    <n v="1.5817223198594025E-2"/>
    <x v="1"/>
    <x v="0"/>
    <s v="Top Performer"/>
  </r>
  <r>
    <d v="2026-02-24T00:00:00"/>
    <x v="6"/>
    <x v="0"/>
    <s v="Green"/>
    <x v="0"/>
    <x v="12"/>
    <n v="5"/>
    <n v="101000"/>
    <n v="102800"/>
    <n v="514000"/>
    <n v="505000"/>
    <n v="9000"/>
    <n v="1.7509727626459144E-2"/>
    <x v="0"/>
    <x v="0"/>
    <s v="Average Performer"/>
  </r>
  <r>
    <d v="2026-02-25T00:00:00"/>
    <x v="7"/>
    <x v="0"/>
    <s v="Black"/>
    <x v="3"/>
    <x v="13"/>
    <n v="12"/>
    <n v="138000"/>
    <n v="139800"/>
    <n v="1677600"/>
    <n v="1656000"/>
    <n v="21600"/>
    <n v="1.2875536480686695E-2"/>
    <x v="1"/>
    <x v="0"/>
    <s v="Top Performer"/>
  </r>
  <r>
    <d v="2026-02-26T00:00:00"/>
    <x v="0"/>
    <x v="0"/>
    <s v="Brown"/>
    <x v="0"/>
    <x v="0"/>
    <n v="7"/>
    <n v="132000"/>
    <n v="133800"/>
    <n v="936600"/>
    <n v="924000"/>
    <n v="12600"/>
    <n v="1.3452914798206279E-2"/>
    <x v="0"/>
    <x v="0"/>
    <s v="Average Performer"/>
  </r>
  <r>
    <d v="2026-02-27T00:00:00"/>
    <x v="1"/>
    <x v="1"/>
    <s v="Red"/>
    <x v="1"/>
    <x v="1"/>
    <n v="13"/>
    <n v="66000"/>
    <n v="72500"/>
    <n v="942500"/>
    <n v="858000"/>
    <n v="84500"/>
    <n v="8.9655172413793102E-2"/>
    <x v="1"/>
    <x v="1"/>
    <s v="Average Performer"/>
  </r>
  <r>
    <d v="2026-02-28T00:00:00"/>
    <x v="2"/>
    <x v="2"/>
    <s v="Blue"/>
    <x v="2"/>
    <x v="2"/>
    <n v="5"/>
    <n v="40000"/>
    <n v="45000"/>
    <n v="225000"/>
    <n v="200000"/>
    <n v="25000"/>
    <n v="0.1111111111111111"/>
    <x v="0"/>
    <x v="1"/>
    <s v="Average Performer"/>
  </r>
  <r>
    <d v="2026-03-01T00:00:00"/>
    <x v="3"/>
    <x v="1"/>
    <s v="Green"/>
    <x v="3"/>
    <x v="3"/>
    <n v="13"/>
    <n v="60000"/>
    <n v="66000"/>
    <n v="858000"/>
    <n v="780000"/>
    <n v="78000"/>
    <n v="9.0909090909090912E-2"/>
    <x v="1"/>
    <x v="1"/>
    <s v="Average Performer"/>
  </r>
  <r>
    <d v="2026-03-02T00:00:00"/>
    <x v="4"/>
    <x v="3"/>
    <s v="Black"/>
    <x v="4"/>
    <x v="4"/>
    <n v="15"/>
    <n v="71000"/>
    <n v="74000"/>
    <n v="1110000"/>
    <n v="1065000"/>
    <n v="45000"/>
    <n v="4.0540540540540543E-2"/>
    <x v="1"/>
    <x v="1"/>
    <s v="Top Performer"/>
  </r>
  <r>
    <d v="2026-03-03T00:00:00"/>
    <x v="5"/>
    <x v="0"/>
    <s v="Brown"/>
    <x v="0"/>
    <x v="5"/>
    <n v="11"/>
    <n v="108000"/>
    <n v="109800"/>
    <n v="1207800"/>
    <n v="1188000"/>
    <n v="19800"/>
    <n v="1.6393442622950821E-2"/>
    <x v="1"/>
    <x v="0"/>
    <s v="Top Performer"/>
  </r>
  <r>
    <d v="2026-03-04T00:00:00"/>
    <x v="6"/>
    <x v="0"/>
    <s v="Red"/>
    <x v="0"/>
    <x v="6"/>
    <n v="11"/>
    <n v="110000"/>
    <n v="111800"/>
    <n v="1229800"/>
    <n v="1210000"/>
    <n v="19800"/>
    <n v="1.6100178890876567E-2"/>
    <x v="1"/>
    <x v="0"/>
    <s v="Top Performer"/>
  </r>
  <r>
    <d v="2026-03-05T00:00:00"/>
    <x v="7"/>
    <x v="0"/>
    <s v="Blue"/>
    <x v="3"/>
    <x v="7"/>
    <n v="7"/>
    <n v="135000"/>
    <n v="136800"/>
    <n v="957600"/>
    <n v="945000"/>
    <n v="12600"/>
    <n v="1.3157894736842105E-2"/>
    <x v="0"/>
    <x v="0"/>
    <s v="Average Performer"/>
  </r>
  <r>
    <d v="2026-03-06T00:00:00"/>
    <x v="0"/>
    <x v="0"/>
    <s v="Green"/>
    <x v="0"/>
    <x v="8"/>
    <n v="8"/>
    <n v="133000"/>
    <n v="134800"/>
    <n v="1078400"/>
    <n v="1064000"/>
    <n v="14400"/>
    <n v="1.3353115727002967E-2"/>
    <x v="0"/>
    <x v="0"/>
    <s v="Top Performer"/>
  </r>
  <r>
    <d v="2026-03-07T00:00:00"/>
    <x v="1"/>
    <x v="1"/>
    <s v="Black"/>
    <x v="1"/>
    <x v="9"/>
    <n v="7"/>
    <n v="52000"/>
    <n v="58000"/>
    <n v="406000"/>
    <n v="364000"/>
    <n v="42000"/>
    <n v="0.10344827586206896"/>
    <x v="0"/>
    <x v="1"/>
    <s v="Average Performer"/>
  </r>
  <r>
    <d v="2026-03-08T00:00:00"/>
    <x v="2"/>
    <x v="2"/>
    <s v="Brown"/>
    <x v="2"/>
    <x v="10"/>
    <n v="5"/>
    <n v="43000"/>
    <n v="48000"/>
    <n v="240000"/>
    <n v="215000"/>
    <n v="25000"/>
    <n v="0.10416666666666667"/>
    <x v="0"/>
    <x v="1"/>
    <s v="Average Performer"/>
  </r>
  <r>
    <d v="2026-03-09T00:00:00"/>
    <x v="3"/>
    <x v="1"/>
    <s v="Red"/>
    <x v="3"/>
    <x v="11"/>
    <n v="14"/>
    <n v="54000"/>
    <n v="60000"/>
    <n v="840000"/>
    <n v="756000"/>
    <n v="84000"/>
    <n v="0.1"/>
    <x v="1"/>
    <x v="1"/>
    <s v="Average Performer"/>
  </r>
  <r>
    <d v="2026-03-10T00:00:00"/>
    <x v="4"/>
    <x v="3"/>
    <s v="Blue"/>
    <x v="4"/>
    <x v="12"/>
    <n v="11"/>
    <n v="74000"/>
    <n v="77000"/>
    <n v="847000"/>
    <n v="814000"/>
    <n v="33000"/>
    <n v="3.896103896103896E-2"/>
    <x v="1"/>
    <x v="1"/>
    <s v="Average Performer"/>
  </r>
  <r>
    <d v="2026-03-11T00:00:00"/>
    <x v="5"/>
    <x v="0"/>
    <s v="Green"/>
    <x v="0"/>
    <x v="13"/>
    <n v="11"/>
    <n v="89000"/>
    <n v="90800"/>
    <n v="998800"/>
    <n v="979000"/>
    <n v="19800"/>
    <n v="1.9823788546255508E-2"/>
    <x v="1"/>
    <x v="1"/>
    <s v="Average Performer"/>
  </r>
  <r>
    <d v="2026-03-12T00:00:00"/>
    <x v="6"/>
    <x v="0"/>
    <s v="Black"/>
    <x v="0"/>
    <x v="0"/>
    <n v="4"/>
    <n v="115000"/>
    <n v="116800"/>
    <n v="467200"/>
    <n v="460000"/>
    <n v="7200"/>
    <n v="1.5410958904109588E-2"/>
    <x v="0"/>
    <x v="0"/>
    <s v="Average Performer"/>
  </r>
  <r>
    <d v="2026-03-13T00:00:00"/>
    <x v="7"/>
    <x v="0"/>
    <s v="Brown"/>
    <x v="3"/>
    <x v="1"/>
    <n v="4"/>
    <n v="125000"/>
    <n v="126800"/>
    <n v="507200"/>
    <n v="500000"/>
    <n v="7200"/>
    <n v="1.4195583596214511E-2"/>
    <x v="0"/>
    <x v="0"/>
    <s v="Average Performer"/>
  </r>
  <r>
    <d v="2026-03-14T00:00:00"/>
    <x v="0"/>
    <x v="0"/>
    <s v="Red"/>
    <x v="0"/>
    <x v="2"/>
    <n v="9"/>
    <n v="100000"/>
    <n v="101800"/>
    <n v="916200"/>
    <n v="900000"/>
    <n v="16200"/>
    <n v="1.768172888015717E-2"/>
    <x v="0"/>
    <x v="0"/>
    <s v="Average Performer"/>
  </r>
  <r>
    <d v="2026-03-15T00:00:00"/>
    <x v="1"/>
    <x v="1"/>
    <s v="Blue"/>
    <x v="1"/>
    <x v="3"/>
    <n v="10"/>
    <n v="69000"/>
    <n v="75500"/>
    <n v="755000"/>
    <n v="690000"/>
    <n v="65000"/>
    <n v="8.6092715231788075E-2"/>
    <x v="0"/>
    <x v="1"/>
    <s v="Average Performer"/>
  </r>
  <r>
    <d v="2026-03-16T00:00:00"/>
    <x v="2"/>
    <x v="2"/>
    <s v="Green"/>
    <x v="2"/>
    <x v="4"/>
    <n v="6"/>
    <n v="41000"/>
    <n v="46000"/>
    <n v="276000"/>
    <n v="246000"/>
    <n v="30000"/>
    <n v="0.10869565217391304"/>
    <x v="0"/>
    <x v="1"/>
    <s v="Average Performer"/>
  </r>
  <r>
    <d v="2026-03-17T00:00:00"/>
    <x v="3"/>
    <x v="1"/>
    <s v="Black"/>
    <x v="3"/>
    <x v="5"/>
    <n v="10"/>
    <n v="55000"/>
    <n v="61000"/>
    <n v="610000"/>
    <n v="550000"/>
    <n v="60000"/>
    <n v="9.8360655737704916E-2"/>
    <x v="0"/>
    <x v="1"/>
    <s v="Average Performer"/>
  </r>
  <r>
    <d v="2026-03-18T00:00:00"/>
    <x v="4"/>
    <x v="3"/>
    <s v="Brown"/>
    <x v="4"/>
    <x v="6"/>
    <n v="4"/>
    <n v="67000"/>
    <n v="73500"/>
    <n v="294000"/>
    <n v="268000"/>
    <n v="26000"/>
    <n v="8.8435374149659865E-2"/>
    <x v="0"/>
    <x v="1"/>
    <s v="Average Performer"/>
  </r>
  <r>
    <d v="2026-03-19T00:00:00"/>
    <x v="5"/>
    <x v="0"/>
    <s v="Red"/>
    <x v="0"/>
    <x v="7"/>
    <n v="15"/>
    <n v="107000"/>
    <n v="108800"/>
    <n v="1632000"/>
    <n v="1605000"/>
    <n v="27000"/>
    <n v="1.6544117647058824E-2"/>
    <x v="1"/>
    <x v="0"/>
    <s v="Top Performer"/>
  </r>
  <r>
    <d v="2026-03-20T00:00:00"/>
    <x v="6"/>
    <x v="0"/>
    <s v="Blue"/>
    <x v="0"/>
    <x v="8"/>
    <n v="12"/>
    <n v="110000"/>
    <n v="111800"/>
    <n v="1341600"/>
    <n v="1320000"/>
    <n v="21600"/>
    <n v="1.6100178890876567E-2"/>
    <x v="1"/>
    <x v="0"/>
    <s v="Top Performer"/>
  </r>
  <r>
    <d v="2026-03-21T00:00:00"/>
    <x v="7"/>
    <x v="0"/>
    <s v="Green"/>
    <x v="3"/>
    <x v="9"/>
    <n v="4"/>
    <n v="136000"/>
    <n v="137800"/>
    <n v="551200"/>
    <n v="544000"/>
    <n v="7200"/>
    <n v="1.3062409288824383E-2"/>
    <x v="0"/>
    <x v="0"/>
    <s v="Average Performer"/>
  </r>
  <r>
    <d v="2026-03-22T00:00:00"/>
    <x v="0"/>
    <x v="0"/>
    <s v="Black"/>
    <x v="0"/>
    <x v="10"/>
    <n v="13"/>
    <n v="114000"/>
    <n v="115800"/>
    <n v="1505400"/>
    <n v="1482000"/>
    <n v="23400"/>
    <n v="1.5544041450777202E-2"/>
    <x v="1"/>
    <x v="0"/>
    <s v="Top Performer"/>
  </r>
  <r>
    <d v="2026-03-23T00:00:00"/>
    <x v="1"/>
    <x v="1"/>
    <s v="Brown"/>
    <x v="1"/>
    <x v="11"/>
    <n v="12"/>
    <n v="63000"/>
    <n v="69500"/>
    <n v="834000"/>
    <n v="756000"/>
    <n v="78000"/>
    <n v="9.3525179856115109E-2"/>
    <x v="1"/>
    <x v="1"/>
    <s v="Average Performer"/>
  </r>
  <r>
    <d v="2026-03-24T00:00:00"/>
    <x v="2"/>
    <x v="2"/>
    <s v="Red"/>
    <x v="2"/>
    <x v="12"/>
    <n v="14"/>
    <n v="48000"/>
    <n v="53000"/>
    <n v="742000"/>
    <n v="672000"/>
    <n v="70000"/>
    <n v="9.4339622641509441E-2"/>
    <x v="1"/>
    <x v="1"/>
    <s v="Average Performer"/>
  </r>
  <r>
    <d v="2026-03-25T00:00:00"/>
    <x v="3"/>
    <x v="1"/>
    <s v="Blue"/>
    <x v="3"/>
    <x v="13"/>
    <n v="5"/>
    <n v="63000"/>
    <n v="69500"/>
    <n v="347500"/>
    <n v="315000"/>
    <n v="32500"/>
    <n v="9.3525179856115109E-2"/>
    <x v="0"/>
    <x v="1"/>
    <s v="Average Performer"/>
  </r>
  <r>
    <d v="2026-03-26T00:00:00"/>
    <x v="4"/>
    <x v="3"/>
    <s v="Green"/>
    <x v="4"/>
    <x v="0"/>
    <n v="14"/>
    <n v="68000"/>
    <n v="74500"/>
    <n v="1043000"/>
    <n v="952000"/>
    <n v="91000"/>
    <n v="8.7248322147651006E-2"/>
    <x v="1"/>
    <x v="1"/>
    <s v="Top Performer"/>
  </r>
  <r>
    <d v="2026-03-27T00:00:00"/>
    <x v="5"/>
    <x v="0"/>
    <s v="Black"/>
    <x v="0"/>
    <x v="1"/>
    <n v="12"/>
    <n v="98000"/>
    <n v="99800"/>
    <n v="1197600"/>
    <n v="1176000"/>
    <n v="21600"/>
    <n v="1.8036072144288578E-2"/>
    <x v="1"/>
    <x v="1"/>
    <s v="Top Performer"/>
  </r>
  <r>
    <d v="2026-03-28T00:00:00"/>
    <x v="6"/>
    <x v="0"/>
    <s v="Brown"/>
    <x v="0"/>
    <x v="2"/>
    <n v="7"/>
    <n v="112000"/>
    <n v="113800"/>
    <n v="796600"/>
    <n v="784000"/>
    <n v="12600"/>
    <n v="1.5817223198594025E-2"/>
    <x v="0"/>
    <x v="0"/>
    <s v="Average Performer"/>
  </r>
  <r>
    <d v="2026-03-29T00:00:00"/>
    <x v="7"/>
    <x v="0"/>
    <s v="Red"/>
    <x v="3"/>
    <x v="3"/>
    <n v="13"/>
    <n v="116000"/>
    <n v="117800"/>
    <n v="1531400"/>
    <n v="1508000"/>
    <n v="23400"/>
    <n v="1.5280135823429542E-2"/>
    <x v="1"/>
    <x v="0"/>
    <s v="Top Performer"/>
  </r>
  <r>
    <d v="2026-03-30T00:00:00"/>
    <x v="0"/>
    <x v="0"/>
    <s v="Blue"/>
    <x v="0"/>
    <x v="4"/>
    <n v="11"/>
    <n v="100000"/>
    <n v="101800"/>
    <n v="1119800"/>
    <n v="1100000"/>
    <n v="19800"/>
    <n v="1.768172888015717E-2"/>
    <x v="1"/>
    <x v="0"/>
    <s v="Top Performer"/>
  </r>
  <r>
    <d v="2026-03-31T00:00:00"/>
    <x v="1"/>
    <x v="1"/>
    <s v="Green"/>
    <x v="1"/>
    <x v="5"/>
    <n v="15"/>
    <n v="64000"/>
    <n v="70500"/>
    <n v="1057500"/>
    <n v="960000"/>
    <n v="97500"/>
    <n v="9.2198581560283682E-2"/>
    <x v="1"/>
    <x v="1"/>
    <s v="Top Performer"/>
  </r>
  <r>
    <d v="2026-04-01T00:00:00"/>
    <x v="2"/>
    <x v="2"/>
    <s v="Black"/>
    <x v="2"/>
    <x v="6"/>
    <n v="10"/>
    <n v="46000"/>
    <n v="51000"/>
    <n v="510000"/>
    <n v="460000"/>
    <n v="50000"/>
    <n v="9.8039215686274508E-2"/>
    <x v="0"/>
    <x v="1"/>
    <s v="Average Performer"/>
  </r>
  <r>
    <d v="2026-04-02T00:00:00"/>
    <x v="3"/>
    <x v="1"/>
    <s v="Brown"/>
    <x v="3"/>
    <x v="7"/>
    <n v="3"/>
    <n v="66000"/>
    <n v="72500"/>
    <n v="217500"/>
    <n v="198000"/>
    <n v="19500"/>
    <n v="8.9655172413793102E-2"/>
    <x v="0"/>
    <x v="1"/>
    <s v="Average Performer"/>
  </r>
  <r>
    <d v="2026-04-03T00:00:00"/>
    <x v="4"/>
    <x v="3"/>
    <s v="Red"/>
    <x v="4"/>
    <x v="8"/>
    <n v="7"/>
    <n v="59000"/>
    <n v="65000"/>
    <n v="455000"/>
    <n v="413000"/>
    <n v="42000"/>
    <n v="9.2307692307692313E-2"/>
    <x v="0"/>
    <x v="1"/>
    <s v="Average Performer"/>
  </r>
  <r>
    <d v="2026-04-04T00:00:00"/>
    <x v="5"/>
    <x v="0"/>
    <s v="Blue"/>
    <x v="0"/>
    <x v="9"/>
    <n v="6"/>
    <n v="102000"/>
    <n v="103800"/>
    <n v="622800"/>
    <n v="612000"/>
    <n v="10800"/>
    <n v="1.7341040462427744E-2"/>
    <x v="0"/>
    <x v="0"/>
    <s v="Average Performer"/>
  </r>
  <r>
    <d v="2026-04-05T00:00:00"/>
    <x v="6"/>
    <x v="0"/>
    <s v="Green"/>
    <x v="0"/>
    <x v="10"/>
    <n v="7"/>
    <n v="101000"/>
    <n v="102800"/>
    <n v="719600"/>
    <n v="707000"/>
    <n v="12600"/>
    <n v="1.7509727626459144E-2"/>
    <x v="0"/>
    <x v="0"/>
    <s v="Average Performer"/>
  </r>
  <r>
    <d v="2026-04-06T00:00:00"/>
    <x v="7"/>
    <x v="0"/>
    <s v="Black"/>
    <x v="3"/>
    <x v="11"/>
    <n v="7"/>
    <n v="112000"/>
    <n v="113800"/>
    <n v="796600"/>
    <n v="784000"/>
    <n v="12600"/>
    <n v="1.5817223198594025E-2"/>
    <x v="0"/>
    <x v="0"/>
    <s v="Average Performer"/>
  </r>
  <r>
    <d v="2026-04-07T00:00:00"/>
    <x v="0"/>
    <x v="0"/>
    <s v="Brown"/>
    <x v="0"/>
    <x v="12"/>
    <n v="6"/>
    <n v="134000"/>
    <n v="135800"/>
    <n v="814800"/>
    <n v="804000"/>
    <n v="10800"/>
    <n v="1.3254786450662739E-2"/>
    <x v="0"/>
    <x v="0"/>
    <s v="Average Performer"/>
  </r>
  <r>
    <d v="2026-04-08T00:00:00"/>
    <x v="1"/>
    <x v="1"/>
    <s v="Red"/>
    <x v="1"/>
    <x v="13"/>
    <n v="3"/>
    <n v="63000"/>
    <n v="69500"/>
    <n v="208500"/>
    <n v="189000"/>
    <n v="19500"/>
    <n v="9.3525179856115109E-2"/>
    <x v="0"/>
    <x v="1"/>
    <s v="Average Performer"/>
  </r>
  <r>
    <d v="2026-04-09T00:00:00"/>
    <x v="2"/>
    <x v="2"/>
    <s v="Blue"/>
    <x v="2"/>
    <x v="0"/>
    <n v="12"/>
    <n v="39000"/>
    <n v="44000"/>
    <n v="528000"/>
    <n v="468000"/>
    <n v="60000"/>
    <n v="0.11363636363636363"/>
    <x v="1"/>
    <x v="1"/>
    <s v="Average Performer"/>
  </r>
  <r>
    <d v="2026-04-10T00:00:00"/>
    <x v="3"/>
    <x v="1"/>
    <s v="Green"/>
    <x v="3"/>
    <x v="1"/>
    <n v="5"/>
    <n v="69000"/>
    <n v="75500"/>
    <n v="377500"/>
    <n v="345000"/>
    <n v="32500"/>
    <n v="8.6092715231788075E-2"/>
    <x v="0"/>
    <x v="1"/>
    <s v="Average Performer"/>
  </r>
  <r>
    <d v="2026-04-11T00:00:00"/>
    <x v="4"/>
    <x v="3"/>
    <s v="Black"/>
    <x v="4"/>
    <x v="2"/>
    <n v="3"/>
    <n v="72000"/>
    <n v="75000"/>
    <n v="225000"/>
    <n v="216000"/>
    <n v="9000"/>
    <n v="0.04"/>
    <x v="0"/>
    <x v="1"/>
    <s v="Average Performer"/>
  </r>
  <r>
    <d v="2026-04-12T00:00:00"/>
    <x v="5"/>
    <x v="0"/>
    <s v="Brown"/>
    <x v="0"/>
    <x v="3"/>
    <n v="5"/>
    <n v="117000"/>
    <n v="118800"/>
    <n v="594000"/>
    <n v="585000"/>
    <n v="9000"/>
    <n v="1.5151515151515152E-2"/>
    <x v="0"/>
    <x v="0"/>
    <s v="Average Performer"/>
  </r>
  <r>
    <d v="2026-04-13T00:00:00"/>
    <x v="6"/>
    <x v="0"/>
    <s v="Red"/>
    <x v="0"/>
    <x v="4"/>
    <n v="15"/>
    <n v="107000"/>
    <n v="108800"/>
    <n v="1632000"/>
    <n v="1605000"/>
    <n v="27000"/>
    <n v="1.6544117647058824E-2"/>
    <x v="1"/>
    <x v="0"/>
    <s v="Top Performer"/>
  </r>
  <r>
    <d v="2026-04-14T00:00:00"/>
    <x v="7"/>
    <x v="0"/>
    <s v="Blue"/>
    <x v="3"/>
    <x v="5"/>
    <n v="3"/>
    <n v="122000"/>
    <n v="123800"/>
    <n v="371400"/>
    <n v="366000"/>
    <n v="5400"/>
    <n v="1.4539579967689823E-2"/>
    <x v="0"/>
    <x v="0"/>
    <s v="Average Performer"/>
  </r>
  <r>
    <d v="2026-04-15T00:00:00"/>
    <x v="0"/>
    <x v="0"/>
    <s v="Green"/>
    <x v="0"/>
    <x v="6"/>
    <n v="5"/>
    <n v="116000"/>
    <n v="117800"/>
    <n v="589000"/>
    <n v="580000"/>
    <n v="9000"/>
    <n v="1.5280135823429542E-2"/>
    <x v="0"/>
    <x v="0"/>
    <s v="Average Performer"/>
  </r>
  <r>
    <d v="2026-04-16T00:00:00"/>
    <x v="1"/>
    <x v="1"/>
    <s v="Black"/>
    <x v="1"/>
    <x v="7"/>
    <n v="7"/>
    <n v="57000"/>
    <n v="63000"/>
    <n v="441000"/>
    <n v="399000"/>
    <n v="42000"/>
    <n v="9.5238095238095233E-2"/>
    <x v="0"/>
    <x v="1"/>
    <s v="Average Performer"/>
  </r>
  <r>
    <d v="2026-04-17T00:00:00"/>
    <x v="2"/>
    <x v="2"/>
    <s v="Brown"/>
    <x v="2"/>
    <x v="8"/>
    <n v="15"/>
    <n v="40000"/>
    <n v="45000"/>
    <n v="675000"/>
    <n v="600000"/>
    <n v="75000"/>
    <n v="0.1111111111111111"/>
    <x v="1"/>
    <x v="1"/>
    <s v="Average Performer"/>
  </r>
  <r>
    <d v="2026-04-18T00:00:00"/>
    <x v="3"/>
    <x v="1"/>
    <s v="Red"/>
    <x v="3"/>
    <x v="9"/>
    <n v="13"/>
    <n v="71000"/>
    <n v="74000"/>
    <n v="962000"/>
    <n v="923000"/>
    <n v="39000"/>
    <n v="4.0540540540540543E-2"/>
    <x v="1"/>
    <x v="1"/>
    <s v="Average Performer"/>
  </r>
  <r>
    <d v="2026-04-19T00:00:00"/>
    <x v="4"/>
    <x v="3"/>
    <s v="Blue"/>
    <x v="4"/>
    <x v="10"/>
    <n v="13"/>
    <n v="70000"/>
    <n v="76500"/>
    <n v="994500"/>
    <n v="910000"/>
    <n v="84500"/>
    <n v="8.4967320261437912E-2"/>
    <x v="1"/>
    <x v="1"/>
    <s v="Average Performer"/>
  </r>
  <r>
    <d v="2026-04-20T00:00:00"/>
    <x v="5"/>
    <x v="0"/>
    <s v="Green"/>
    <x v="0"/>
    <x v="11"/>
    <n v="8"/>
    <n v="103000"/>
    <n v="104800"/>
    <n v="838400"/>
    <n v="824000"/>
    <n v="14400"/>
    <n v="1.717557251908397E-2"/>
    <x v="0"/>
    <x v="0"/>
    <s v="Average Performer"/>
  </r>
  <r>
    <d v="2026-04-21T00:00:00"/>
    <x v="6"/>
    <x v="0"/>
    <s v="Black"/>
    <x v="0"/>
    <x v="12"/>
    <n v="15"/>
    <n v="93000"/>
    <n v="94800"/>
    <n v="1422000"/>
    <n v="1395000"/>
    <n v="27000"/>
    <n v="1.8987341772151899E-2"/>
    <x v="1"/>
    <x v="1"/>
    <s v="Top Performer"/>
  </r>
  <r>
    <d v="2026-04-22T00:00:00"/>
    <x v="7"/>
    <x v="0"/>
    <s v="Brown"/>
    <x v="3"/>
    <x v="13"/>
    <n v="9"/>
    <n v="119000"/>
    <n v="120800"/>
    <n v="1087200"/>
    <n v="1071000"/>
    <n v="16200"/>
    <n v="1.4900662251655629E-2"/>
    <x v="0"/>
    <x v="0"/>
    <s v="Top Performer"/>
  </r>
  <r>
    <d v="2026-04-23T00:00:00"/>
    <x v="0"/>
    <x v="0"/>
    <s v="Red"/>
    <x v="0"/>
    <x v="0"/>
    <n v="4"/>
    <n v="110000"/>
    <n v="111800"/>
    <n v="447200"/>
    <n v="440000"/>
    <n v="7200"/>
    <n v="1.6100178890876567E-2"/>
    <x v="0"/>
    <x v="0"/>
    <s v="Average Performer"/>
  </r>
  <r>
    <d v="2026-04-24T00:00:00"/>
    <x v="1"/>
    <x v="1"/>
    <s v="Blue"/>
    <x v="1"/>
    <x v="1"/>
    <n v="15"/>
    <n v="54000"/>
    <n v="60000"/>
    <n v="900000"/>
    <n v="810000"/>
    <n v="90000"/>
    <n v="0.1"/>
    <x v="1"/>
    <x v="1"/>
    <s v="Average Performer"/>
  </r>
  <r>
    <d v="2026-04-25T00:00:00"/>
    <x v="2"/>
    <x v="2"/>
    <s v="Green"/>
    <x v="2"/>
    <x v="2"/>
    <n v="4"/>
    <n v="54000"/>
    <n v="60000"/>
    <n v="240000"/>
    <n v="216000"/>
    <n v="24000"/>
    <n v="0.1"/>
    <x v="0"/>
    <x v="1"/>
    <s v="Average Performer"/>
  </r>
  <r>
    <d v="2026-04-26T00:00:00"/>
    <x v="3"/>
    <x v="1"/>
    <s v="Black"/>
    <x v="3"/>
    <x v="3"/>
    <n v="3"/>
    <n v="73000"/>
    <n v="76000"/>
    <n v="228000"/>
    <n v="219000"/>
    <n v="9000"/>
    <n v="3.9473684210526314E-2"/>
    <x v="0"/>
    <x v="1"/>
    <s v="Average Performer"/>
  </r>
  <r>
    <d v="2026-04-27T00:00:00"/>
    <x v="4"/>
    <x v="3"/>
    <s v="Brown"/>
    <x v="4"/>
    <x v="4"/>
    <n v="12"/>
    <n v="76000"/>
    <n v="79000"/>
    <n v="948000"/>
    <n v="912000"/>
    <n v="36000"/>
    <n v="3.7974683544303799E-2"/>
    <x v="1"/>
    <x v="1"/>
    <s v="Average Performer"/>
  </r>
  <r>
    <d v="2026-04-28T00:00:00"/>
    <x v="5"/>
    <x v="0"/>
    <s v="Red"/>
    <x v="0"/>
    <x v="5"/>
    <n v="9"/>
    <n v="105000"/>
    <n v="106800"/>
    <n v="961200"/>
    <n v="945000"/>
    <n v="16200"/>
    <n v="1.6853932584269662E-2"/>
    <x v="0"/>
    <x v="0"/>
    <s v="Average Performer"/>
  </r>
  <r>
    <d v="2026-04-29T00:00:00"/>
    <x v="6"/>
    <x v="0"/>
    <s v="Blue"/>
    <x v="0"/>
    <x v="6"/>
    <n v="9"/>
    <n v="99000"/>
    <n v="100800"/>
    <n v="907200"/>
    <n v="891000"/>
    <n v="16200"/>
    <n v="1.7857142857142856E-2"/>
    <x v="0"/>
    <x v="0"/>
    <s v="Average Performer"/>
  </r>
  <r>
    <d v="2026-04-30T00:00:00"/>
    <x v="7"/>
    <x v="0"/>
    <s v="Green"/>
    <x v="3"/>
    <x v="7"/>
    <n v="8"/>
    <n v="115000"/>
    <n v="116800"/>
    <n v="934400"/>
    <n v="920000"/>
    <n v="14400"/>
    <n v="1.5410958904109588E-2"/>
    <x v="0"/>
    <x v="0"/>
    <s v="Average Performer"/>
  </r>
  <r>
    <d v="2026-05-01T00:00:00"/>
    <x v="0"/>
    <x v="0"/>
    <s v="Black"/>
    <x v="0"/>
    <x v="8"/>
    <n v="8"/>
    <n v="102000"/>
    <n v="103800"/>
    <n v="830400"/>
    <n v="816000"/>
    <n v="14400"/>
    <n v="1.7341040462427744E-2"/>
    <x v="0"/>
    <x v="0"/>
    <s v="Average Performer"/>
  </r>
  <r>
    <d v="2026-05-02T00:00:00"/>
    <x v="1"/>
    <x v="1"/>
    <s v="Brown"/>
    <x v="1"/>
    <x v="9"/>
    <n v="4"/>
    <n v="64000"/>
    <n v="70500"/>
    <n v="282000"/>
    <n v="256000"/>
    <n v="26000"/>
    <n v="9.2198581560283682E-2"/>
    <x v="0"/>
    <x v="1"/>
    <s v="Average Performer"/>
  </r>
  <r>
    <d v="2026-05-03T00:00:00"/>
    <x v="2"/>
    <x v="2"/>
    <s v="Red"/>
    <x v="2"/>
    <x v="10"/>
    <n v="4"/>
    <n v="40000"/>
    <n v="45000"/>
    <n v="180000"/>
    <n v="160000"/>
    <n v="20000"/>
    <n v="0.1111111111111111"/>
    <x v="0"/>
    <x v="1"/>
    <s v="Average Performer"/>
  </r>
  <r>
    <d v="2026-05-04T00:00:00"/>
    <x v="3"/>
    <x v="1"/>
    <s v="Blue"/>
    <x v="3"/>
    <x v="11"/>
    <n v="8"/>
    <n v="66000"/>
    <n v="72500"/>
    <n v="580000"/>
    <n v="528000"/>
    <n v="52000"/>
    <n v="8.9655172413793102E-2"/>
    <x v="0"/>
    <x v="1"/>
    <s v="Average Performer"/>
  </r>
  <r>
    <d v="2026-05-05T00:00:00"/>
    <x v="4"/>
    <x v="3"/>
    <s v="Green"/>
    <x v="4"/>
    <x v="12"/>
    <n v="6"/>
    <n v="71000"/>
    <n v="74000"/>
    <n v="444000"/>
    <n v="426000"/>
    <n v="18000"/>
    <n v="4.0540540540540543E-2"/>
    <x v="0"/>
    <x v="1"/>
    <s v="Average Performer"/>
  </r>
  <r>
    <d v="2026-05-06T00:00:00"/>
    <x v="5"/>
    <x v="0"/>
    <s v="Black"/>
    <x v="0"/>
    <x v="13"/>
    <n v="8"/>
    <n v="104000"/>
    <n v="105800"/>
    <n v="846400"/>
    <n v="832000"/>
    <n v="14400"/>
    <n v="1.7013232514177693E-2"/>
    <x v="0"/>
    <x v="0"/>
    <s v="Average Performer"/>
  </r>
  <r>
    <d v="2026-05-07T00:00:00"/>
    <x v="6"/>
    <x v="0"/>
    <s v="Brown"/>
    <x v="0"/>
    <x v="0"/>
    <n v="8"/>
    <n v="99000"/>
    <n v="100800"/>
    <n v="806400"/>
    <n v="792000"/>
    <n v="14400"/>
    <n v="1.7857142857142856E-2"/>
    <x v="0"/>
    <x v="0"/>
    <s v="Average Performer"/>
  </r>
  <r>
    <d v="2026-05-08T00:00:00"/>
    <x v="7"/>
    <x v="0"/>
    <s v="Red"/>
    <x v="3"/>
    <x v="1"/>
    <n v="8"/>
    <n v="120000"/>
    <n v="121800"/>
    <n v="974400"/>
    <n v="960000"/>
    <n v="14400"/>
    <n v="1.4778325123152709E-2"/>
    <x v="0"/>
    <x v="0"/>
    <s v="Average Performer"/>
  </r>
  <r>
    <d v="2026-05-09T00:00:00"/>
    <x v="0"/>
    <x v="0"/>
    <s v="Blue"/>
    <x v="0"/>
    <x v="2"/>
    <n v="15"/>
    <n v="137000"/>
    <n v="138800"/>
    <n v="2082000"/>
    <n v="2055000"/>
    <n v="27000"/>
    <n v="1.2968299711815562E-2"/>
    <x v="1"/>
    <x v="0"/>
    <s v="Top Performer"/>
  </r>
  <r>
    <d v="2026-05-10T00:00:00"/>
    <x v="1"/>
    <x v="1"/>
    <s v="Green"/>
    <x v="1"/>
    <x v="3"/>
    <n v="15"/>
    <n v="58000"/>
    <n v="64000"/>
    <n v="960000"/>
    <n v="870000"/>
    <n v="90000"/>
    <n v="9.375E-2"/>
    <x v="1"/>
    <x v="1"/>
    <s v="Average Performer"/>
  </r>
  <r>
    <d v="2026-05-11T00:00:00"/>
    <x v="2"/>
    <x v="2"/>
    <s v="Black"/>
    <x v="2"/>
    <x v="4"/>
    <n v="12"/>
    <n v="40000"/>
    <n v="45000"/>
    <n v="540000"/>
    <n v="480000"/>
    <n v="60000"/>
    <n v="0.1111111111111111"/>
    <x v="1"/>
    <x v="1"/>
    <s v="Average Performer"/>
  </r>
  <r>
    <d v="2026-05-12T00:00:00"/>
    <x v="3"/>
    <x v="1"/>
    <s v="Brown"/>
    <x v="3"/>
    <x v="5"/>
    <n v="13"/>
    <n v="72000"/>
    <n v="75000"/>
    <n v="975000"/>
    <n v="936000"/>
    <n v="39000"/>
    <n v="0.04"/>
    <x v="1"/>
    <x v="1"/>
    <s v="Average Performer"/>
  </r>
  <r>
    <d v="2026-05-13T00:00:00"/>
    <x v="4"/>
    <x v="3"/>
    <s v="Red"/>
    <x v="4"/>
    <x v="6"/>
    <n v="8"/>
    <n v="58000"/>
    <n v="64000"/>
    <n v="512000"/>
    <n v="464000"/>
    <n v="48000"/>
    <n v="9.375E-2"/>
    <x v="0"/>
    <x v="1"/>
    <s v="Average Performer"/>
  </r>
  <r>
    <d v="2026-05-14T00:00:00"/>
    <x v="5"/>
    <x v="0"/>
    <s v="Blue"/>
    <x v="0"/>
    <x v="7"/>
    <n v="8"/>
    <n v="90000"/>
    <n v="91800"/>
    <n v="734400"/>
    <n v="720000"/>
    <n v="14400"/>
    <n v="1.9607843137254902E-2"/>
    <x v="0"/>
    <x v="1"/>
    <s v="Average Performer"/>
  </r>
  <r>
    <d v="2026-05-15T00:00:00"/>
    <x v="6"/>
    <x v="0"/>
    <s v="Green"/>
    <x v="0"/>
    <x v="8"/>
    <n v="6"/>
    <n v="107000"/>
    <n v="108800"/>
    <n v="652800"/>
    <n v="642000"/>
    <n v="10800"/>
    <n v="1.6544117647058824E-2"/>
    <x v="0"/>
    <x v="0"/>
    <s v="Average Performer"/>
  </r>
  <r>
    <d v="2026-05-16T00:00:00"/>
    <x v="7"/>
    <x v="0"/>
    <s v="Black"/>
    <x v="3"/>
    <x v="9"/>
    <n v="6"/>
    <n v="101000"/>
    <n v="102800"/>
    <n v="616800"/>
    <n v="606000"/>
    <n v="10800"/>
    <n v="1.7509727626459144E-2"/>
    <x v="0"/>
    <x v="0"/>
    <s v="Average Performer"/>
  </r>
  <r>
    <d v="2026-05-17T00:00:00"/>
    <x v="0"/>
    <x v="0"/>
    <s v="Brown"/>
    <x v="0"/>
    <x v="10"/>
    <n v="4"/>
    <n v="117000"/>
    <n v="118800"/>
    <n v="475200"/>
    <n v="468000"/>
    <n v="7200"/>
    <n v="1.5151515151515152E-2"/>
    <x v="0"/>
    <x v="0"/>
    <s v="Average Performer"/>
  </r>
  <r>
    <d v="2026-05-18T00:00:00"/>
    <x v="1"/>
    <x v="1"/>
    <s v="Red"/>
    <x v="1"/>
    <x v="11"/>
    <n v="15"/>
    <n v="52000"/>
    <n v="58000"/>
    <n v="870000"/>
    <n v="780000"/>
    <n v="90000"/>
    <n v="0.10344827586206896"/>
    <x v="1"/>
    <x v="1"/>
    <s v="Average Performer"/>
  </r>
  <r>
    <d v="2026-05-19T00:00:00"/>
    <x v="2"/>
    <x v="2"/>
    <s v="Blue"/>
    <x v="2"/>
    <x v="12"/>
    <n v="13"/>
    <n v="42000"/>
    <n v="47000"/>
    <n v="611000"/>
    <n v="546000"/>
    <n v="65000"/>
    <n v="0.10638297872340426"/>
    <x v="1"/>
    <x v="1"/>
    <s v="Average Performer"/>
  </r>
  <r>
    <d v="2026-05-20T00:00:00"/>
    <x v="3"/>
    <x v="1"/>
    <s v="Green"/>
    <x v="3"/>
    <x v="13"/>
    <n v="12"/>
    <n v="71000"/>
    <n v="74000"/>
    <n v="888000"/>
    <n v="852000"/>
    <n v="36000"/>
    <n v="4.0540540540540543E-2"/>
    <x v="1"/>
    <x v="1"/>
    <s v="Average Performer"/>
  </r>
  <r>
    <d v="2026-05-21T00:00:00"/>
    <x v="4"/>
    <x v="3"/>
    <s v="Black"/>
    <x v="4"/>
    <x v="0"/>
    <n v="5"/>
    <n v="58000"/>
    <n v="64000"/>
    <n v="320000"/>
    <n v="290000"/>
    <n v="30000"/>
    <n v="9.375E-2"/>
    <x v="0"/>
    <x v="1"/>
    <s v="Average Performer"/>
  </r>
  <r>
    <d v="2026-05-22T00:00:00"/>
    <x v="5"/>
    <x v="0"/>
    <s v="Brown"/>
    <x v="0"/>
    <x v="1"/>
    <n v="10"/>
    <n v="92000"/>
    <n v="93800"/>
    <n v="938000"/>
    <n v="920000"/>
    <n v="18000"/>
    <n v="1.9189765458422176E-2"/>
    <x v="0"/>
    <x v="1"/>
    <s v="Average Performer"/>
  </r>
  <r>
    <d v="2026-05-23T00:00:00"/>
    <x v="6"/>
    <x v="0"/>
    <s v="Red"/>
    <x v="0"/>
    <x v="2"/>
    <n v="4"/>
    <n v="116000"/>
    <n v="117800"/>
    <n v="471200"/>
    <n v="464000"/>
    <n v="7200"/>
    <n v="1.5280135823429542E-2"/>
    <x v="0"/>
    <x v="0"/>
    <s v="Average Performer"/>
  </r>
  <r>
    <d v="2026-05-24T00:00:00"/>
    <x v="7"/>
    <x v="0"/>
    <s v="Blue"/>
    <x v="3"/>
    <x v="3"/>
    <n v="6"/>
    <n v="132000"/>
    <n v="133800"/>
    <n v="802800"/>
    <n v="792000"/>
    <n v="10800"/>
    <n v="1.3452914798206279E-2"/>
    <x v="0"/>
    <x v="0"/>
    <s v="Average Performer"/>
  </r>
  <r>
    <d v="2026-05-25T00:00:00"/>
    <x v="0"/>
    <x v="0"/>
    <s v="Green"/>
    <x v="0"/>
    <x v="4"/>
    <n v="6"/>
    <n v="136000"/>
    <n v="137800"/>
    <n v="826800"/>
    <n v="816000"/>
    <n v="10800"/>
    <n v="1.3062409288824383E-2"/>
    <x v="0"/>
    <x v="0"/>
    <s v="Average Performer"/>
  </r>
  <r>
    <d v="2026-05-26T00:00:00"/>
    <x v="1"/>
    <x v="1"/>
    <s v="Black"/>
    <x v="1"/>
    <x v="5"/>
    <n v="12"/>
    <n v="56000"/>
    <n v="62000"/>
    <n v="744000"/>
    <n v="672000"/>
    <n v="72000"/>
    <n v="9.6774193548387094E-2"/>
    <x v="1"/>
    <x v="1"/>
    <s v="Average Performer"/>
  </r>
  <r>
    <d v="2026-05-27T00:00:00"/>
    <x v="2"/>
    <x v="2"/>
    <s v="Brown"/>
    <x v="2"/>
    <x v="6"/>
    <n v="5"/>
    <n v="46000"/>
    <n v="51000"/>
    <n v="255000"/>
    <n v="230000"/>
    <n v="25000"/>
    <n v="9.8039215686274508E-2"/>
    <x v="0"/>
    <x v="1"/>
    <s v="Average Performer"/>
  </r>
  <r>
    <d v="2026-05-28T00:00:00"/>
    <x v="3"/>
    <x v="1"/>
    <s v="Red"/>
    <x v="3"/>
    <x v="7"/>
    <n v="5"/>
    <n v="65000"/>
    <n v="71500"/>
    <n v="357500"/>
    <n v="325000"/>
    <n v="32500"/>
    <n v="9.0909090909090912E-2"/>
    <x v="0"/>
    <x v="1"/>
    <s v="Average Performer"/>
  </r>
  <r>
    <d v="2026-05-29T00:00:00"/>
    <x v="4"/>
    <x v="3"/>
    <s v="Blue"/>
    <x v="4"/>
    <x v="8"/>
    <n v="14"/>
    <n v="68000"/>
    <n v="74500"/>
    <n v="1043000"/>
    <n v="952000"/>
    <n v="91000"/>
    <n v="8.7248322147651006E-2"/>
    <x v="1"/>
    <x v="1"/>
    <s v="Top Performer"/>
  </r>
  <r>
    <d v="2026-05-30T00:00:00"/>
    <x v="5"/>
    <x v="0"/>
    <s v="Green"/>
    <x v="0"/>
    <x v="9"/>
    <n v="11"/>
    <n v="99000"/>
    <n v="100800"/>
    <n v="1108800"/>
    <n v="1089000"/>
    <n v="19800"/>
    <n v="1.7857142857142856E-2"/>
    <x v="1"/>
    <x v="0"/>
    <s v="Top Performer"/>
  </r>
  <r>
    <d v="2026-05-31T00:00:00"/>
    <x v="6"/>
    <x v="0"/>
    <s v="Black"/>
    <x v="0"/>
    <x v="10"/>
    <n v="14"/>
    <n v="97000"/>
    <n v="98800"/>
    <n v="1383200"/>
    <n v="1358000"/>
    <n v="25200"/>
    <n v="1.8218623481781375E-2"/>
    <x v="1"/>
    <x v="1"/>
    <s v="Top Performer"/>
  </r>
  <r>
    <d v="2026-06-01T00:00:00"/>
    <x v="7"/>
    <x v="0"/>
    <s v="Brown"/>
    <x v="3"/>
    <x v="11"/>
    <n v="4"/>
    <n v="133000"/>
    <n v="134800"/>
    <n v="539200"/>
    <n v="532000"/>
    <n v="7200"/>
    <n v="1.3353115727002967E-2"/>
    <x v="0"/>
    <x v="0"/>
    <s v="Average Performer"/>
  </r>
  <r>
    <d v="2026-06-02T00:00:00"/>
    <x v="0"/>
    <x v="0"/>
    <s v="Red"/>
    <x v="0"/>
    <x v="12"/>
    <n v="10"/>
    <n v="121000"/>
    <n v="122800"/>
    <n v="1228000"/>
    <n v="1210000"/>
    <n v="18000"/>
    <n v="1.4657980456026058E-2"/>
    <x v="0"/>
    <x v="0"/>
    <s v="Top Performer"/>
  </r>
  <r>
    <d v="2026-06-03T00:00:00"/>
    <x v="1"/>
    <x v="1"/>
    <s v="Blue"/>
    <x v="1"/>
    <x v="13"/>
    <n v="15"/>
    <n v="54000"/>
    <n v="60000"/>
    <n v="900000"/>
    <n v="810000"/>
    <n v="90000"/>
    <n v="0.1"/>
    <x v="1"/>
    <x v="1"/>
    <s v="Average Performer"/>
  </r>
  <r>
    <d v="2026-06-04T00:00:00"/>
    <x v="2"/>
    <x v="2"/>
    <s v="Green"/>
    <x v="2"/>
    <x v="0"/>
    <n v="10"/>
    <n v="42000"/>
    <n v="47000"/>
    <n v="470000"/>
    <n v="420000"/>
    <n v="50000"/>
    <n v="0.10638297872340426"/>
    <x v="0"/>
    <x v="1"/>
    <s v="Average Performer"/>
  </r>
  <r>
    <d v="2026-06-05T00:00:00"/>
    <x v="3"/>
    <x v="1"/>
    <s v="Black"/>
    <x v="3"/>
    <x v="1"/>
    <n v="8"/>
    <n v="63000"/>
    <n v="69500"/>
    <n v="556000"/>
    <n v="504000"/>
    <n v="52000"/>
    <n v="9.3525179856115109E-2"/>
    <x v="0"/>
    <x v="1"/>
    <s v="Average Performer"/>
  </r>
  <r>
    <d v="2026-06-06T00:00:00"/>
    <x v="4"/>
    <x v="3"/>
    <s v="Brown"/>
    <x v="4"/>
    <x v="2"/>
    <n v="12"/>
    <n v="55000"/>
    <n v="61000"/>
    <n v="732000"/>
    <n v="660000"/>
    <n v="72000"/>
    <n v="9.8360655737704916E-2"/>
    <x v="1"/>
    <x v="1"/>
    <s v="Average Performer"/>
  </r>
  <r>
    <d v="2026-06-07T00:00:00"/>
    <x v="5"/>
    <x v="0"/>
    <s v="Red"/>
    <x v="0"/>
    <x v="3"/>
    <n v="7"/>
    <n v="97000"/>
    <n v="98800"/>
    <n v="691600"/>
    <n v="679000"/>
    <n v="12600"/>
    <n v="1.8218623481781375E-2"/>
    <x v="0"/>
    <x v="1"/>
    <s v="Average Performer"/>
  </r>
  <r>
    <d v="2026-06-08T00:00:00"/>
    <x v="6"/>
    <x v="0"/>
    <s v="Blue"/>
    <x v="0"/>
    <x v="4"/>
    <n v="5"/>
    <n v="101000"/>
    <n v="102800"/>
    <n v="514000"/>
    <n v="505000"/>
    <n v="9000"/>
    <n v="1.7509727626459144E-2"/>
    <x v="0"/>
    <x v="0"/>
    <s v="Average Performer"/>
  </r>
  <r>
    <d v="2026-06-09T00:00:00"/>
    <x v="7"/>
    <x v="0"/>
    <s v="Green"/>
    <x v="3"/>
    <x v="5"/>
    <n v="12"/>
    <n v="138000"/>
    <n v="139800"/>
    <n v="1677600"/>
    <n v="1656000"/>
    <n v="21600"/>
    <n v="1.2875536480686695E-2"/>
    <x v="1"/>
    <x v="0"/>
    <s v="Top Performer"/>
  </r>
  <r>
    <d v="2026-06-10T00:00:00"/>
    <x v="0"/>
    <x v="0"/>
    <s v="Black"/>
    <x v="0"/>
    <x v="6"/>
    <n v="7"/>
    <n v="131000"/>
    <n v="132800"/>
    <n v="929600"/>
    <n v="917000"/>
    <n v="12600"/>
    <n v="1.355421686746988E-2"/>
    <x v="0"/>
    <x v="0"/>
    <s v="Average Performer"/>
  </r>
  <r>
    <d v="2026-06-11T00:00:00"/>
    <x v="1"/>
    <x v="1"/>
    <s v="Brown"/>
    <x v="1"/>
    <x v="7"/>
    <n v="10"/>
    <n v="50000"/>
    <n v="55000"/>
    <n v="550000"/>
    <n v="500000"/>
    <n v="50000"/>
    <n v="9.0909090909090912E-2"/>
    <x v="0"/>
    <x v="1"/>
    <s v="Average Performer"/>
  </r>
  <r>
    <d v="2026-06-12T00:00:00"/>
    <x v="2"/>
    <x v="2"/>
    <s v="Red"/>
    <x v="2"/>
    <x v="8"/>
    <n v="8"/>
    <n v="40000"/>
    <n v="45000"/>
    <n v="360000"/>
    <n v="320000"/>
    <n v="40000"/>
    <n v="0.1111111111111111"/>
    <x v="0"/>
    <x v="1"/>
    <s v="Average Performer"/>
  </r>
  <r>
    <d v="2026-06-13T00:00:00"/>
    <x v="3"/>
    <x v="1"/>
    <s v="Blue"/>
    <x v="3"/>
    <x v="9"/>
    <n v="10"/>
    <n v="53000"/>
    <n v="59000"/>
    <n v="590000"/>
    <n v="530000"/>
    <n v="60000"/>
    <n v="0.10169491525423729"/>
    <x v="0"/>
    <x v="1"/>
    <s v="Average Performer"/>
  </r>
  <r>
    <d v="2026-06-14T00:00:00"/>
    <x v="4"/>
    <x v="3"/>
    <s v="Green"/>
    <x v="4"/>
    <x v="10"/>
    <n v="15"/>
    <n v="61000"/>
    <n v="67500"/>
    <n v="1012500"/>
    <n v="915000"/>
    <n v="97500"/>
    <n v="9.6296296296296297E-2"/>
    <x v="1"/>
    <x v="1"/>
    <s v="Top Performer"/>
  </r>
  <r>
    <d v="2026-06-15T00:00:00"/>
    <x v="5"/>
    <x v="0"/>
    <s v="Black"/>
    <x v="0"/>
    <x v="11"/>
    <n v="9"/>
    <n v="90000"/>
    <n v="91800"/>
    <n v="826200"/>
    <n v="810000"/>
    <n v="16200"/>
    <n v="1.9607843137254902E-2"/>
    <x v="0"/>
    <x v="1"/>
    <s v="Average Performer"/>
  </r>
  <r>
    <d v="2026-06-16T00:00:00"/>
    <x v="6"/>
    <x v="0"/>
    <s v="Brown"/>
    <x v="0"/>
    <x v="12"/>
    <n v="10"/>
    <n v="91000"/>
    <n v="92800"/>
    <n v="928000"/>
    <n v="910000"/>
    <n v="18000"/>
    <n v="1.9396551724137932E-2"/>
    <x v="0"/>
    <x v="1"/>
    <s v="Average Performer"/>
  </r>
  <r>
    <d v="2026-06-17T00:00:00"/>
    <x v="7"/>
    <x v="0"/>
    <s v="Red"/>
    <x v="3"/>
    <x v="13"/>
    <n v="6"/>
    <n v="131000"/>
    <n v="132800"/>
    <n v="796800"/>
    <n v="786000"/>
    <n v="10800"/>
    <n v="1.355421686746988E-2"/>
    <x v="0"/>
    <x v="0"/>
    <s v="Average Performer"/>
  </r>
  <r>
    <d v="2026-06-18T00:00:00"/>
    <x v="0"/>
    <x v="0"/>
    <s v="Blue"/>
    <x v="0"/>
    <x v="0"/>
    <n v="9"/>
    <n v="129000"/>
    <n v="130800"/>
    <n v="1177200"/>
    <n v="1161000"/>
    <n v="16200"/>
    <n v="1.3761467889908258E-2"/>
    <x v="0"/>
    <x v="0"/>
    <s v="Top Performer"/>
  </r>
  <r>
    <d v="2026-06-19T00:00:00"/>
    <x v="1"/>
    <x v="1"/>
    <s v="Green"/>
    <x v="1"/>
    <x v="1"/>
    <n v="8"/>
    <n v="62000"/>
    <n v="68500"/>
    <n v="548000"/>
    <n v="496000"/>
    <n v="52000"/>
    <n v="9.4890510948905105E-2"/>
    <x v="0"/>
    <x v="1"/>
    <s v="Average Performer"/>
  </r>
  <r>
    <d v="2026-06-20T00:00:00"/>
    <x v="2"/>
    <x v="2"/>
    <s v="Black"/>
    <x v="2"/>
    <x v="2"/>
    <n v="4"/>
    <n v="42000"/>
    <n v="47000"/>
    <n v="188000"/>
    <n v="168000"/>
    <n v="20000"/>
    <n v="0.10638297872340426"/>
    <x v="0"/>
    <x v="1"/>
    <s v="Average Performer"/>
  </r>
  <r>
    <d v="2026-06-21T00:00:00"/>
    <x v="3"/>
    <x v="1"/>
    <s v="Brown"/>
    <x v="3"/>
    <x v="3"/>
    <n v="6"/>
    <n v="58000"/>
    <n v="64000"/>
    <n v="384000"/>
    <n v="348000"/>
    <n v="36000"/>
    <n v="9.375E-2"/>
    <x v="0"/>
    <x v="1"/>
    <s v="Average Performer"/>
  </r>
  <r>
    <d v="2026-06-22T00:00:00"/>
    <x v="4"/>
    <x v="3"/>
    <s v="Red"/>
    <x v="4"/>
    <x v="4"/>
    <n v="7"/>
    <n v="76000"/>
    <n v="79000"/>
    <n v="553000"/>
    <n v="532000"/>
    <n v="21000"/>
    <n v="3.7974683544303799E-2"/>
    <x v="0"/>
    <x v="1"/>
    <s v="Average Performer"/>
  </r>
  <r>
    <d v="2026-06-23T00:00:00"/>
    <x v="5"/>
    <x v="0"/>
    <s v="Blue"/>
    <x v="0"/>
    <x v="5"/>
    <n v="10"/>
    <n v="111000"/>
    <n v="112800"/>
    <n v="1128000"/>
    <n v="1110000"/>
    <n v="18000"/>
    <n v="1.5957446808510637E-2"/>
    <x v="0"/>
    <x v="0"/>
    <s v="Top Performer"/>
  </r>
  <r>
    <d v="2026-06-24T00:00:00"/>
    <x v="6"/>
    <x v="0"/>
    <s v="Green"/>
    <x v="0"/>
    <x v="6"/>
    <n v="6"/>
    <n v="95000"/>
    <n v="96800"/>
    <n v="580800"/>
    <n v="570000"/>
    <n v="10800"/>
    <n v="1.859504132231405E-2"/>
    <x v="0"/>
    <x v="1"/>
    <s v="Average Performer"/>
  </r>
  <r>
    <d v="2026-06-25T00:00:00"/>
    <x v="7"/>
    <x v="0"/>
    <s v="Black"/>
    <x v="3"/>
    <x v="7"/>
    <n v="7"/>
    <n v="103000"/>
    <n v="104800"/>
    <n v="733600"/>
    <n v="721000"/>
    <n v="12600"/>
    <n v="1.717557251908397E-2"/>
    <x v="0"/>
    <x v="0"/>
    <s v="Average Performer"/>
  </r>
  <r>
    <d v="2026-06-26T00:00:00"/>
    <x v="0"/>
    <x v="0"/>
    <s v="Brown"/>
    <x v="0"/>
    <x v="8"/>
    <n v="8"/>
    <n v="130000"/>
    <n v="131800"/>
    <n v="1054400"/>
    <n v="1040000"/>
    <n v="14400"/>
    <n v="1.3657056145675266E-2"/>
    <x v="0"/>
    <x v="0"/>
    <s v="Top Performer"/>
  </r>
  <r>
    <d v="2026-06-27T00:00:00"/>
    <x v="1"/>
    <x v="1"/>
    <s v="Red"/>
    <x v="1"/>
    <x v="9"/>
    <n v="3"/>
    <n v="54000"/>
    <n v="60000"/>
    <n v="180000"/>
    <n v="162000"/>
    <n v="18000"/>
    <n v="0.1"/>
    <x v="0"/>
    <x v="1"/>
    <s v="Average Performer"/>
  </r>
  <r>
    <d v="2026-06-28T00:00:00"/>
    <x v="2"/>
    <x v="2"/>
    <s v="Blue"/>
    <x v="2"/>
    <x v="10"/>
    <n v="15"/>
    <n v="39000"/>
    <n v="44000"/>
    <n v="660000"/>
    <n v="585000"/>
    <n v="75000"/>
    <n v="0.11363636363636363"/>
    <x v="1"/>
    <x v="1"/>
    <s v="Average Performer"/>
  </r>
  <r>
    <d v="2026-06-29T00:00:00"/>
    <x v="3"/>
    <x v="1"/>
    <s v="Green"/>
    <x v="3"/>
    <x v="11"/>
    <n v="13"/>
    <n v="53000"/>
    <n v="59000"/>
    <n v="767000"/>
    <n v="689000"/>
    <n v="78000"/>
    <n v="0.10169491525423729"/>
    <x v="1"/>
    <x v="1"/>
    <s v="Average Performer"/>
  </r>
  <r>
    <d v="2026-06-30T00:00:00"/>
    <x v="4"/>
    <x v="3"/>
    <s v="Black"/>
    <x v="4"/>
    <x v="12"/>
    <n v="15"/>
    <n v="62000"/>
    <n v="68500"/>
    <n v="1027500"/>
    <n v="930000"/>
    <n v="97500"/>
    <n v="9.4890510948905105E-2"/>
    <x v="1"/>
    <x v="1"/>
    <s v="Top Performer"/>
  </r>
  <r>
    <d v="2026-07-01T00:00:00"/>
    <x v="5"/>
    <x v="0"/>
    <s v="Brown"/>
    <x v="0"/>
    <x v="13"/>
    <n v="9"/>
    <n v="93000"/>
    <n v="94800"/>
    <n v="853200"/>
    <n v="837000"/>
    <n v="16200"/>
    <n v="1.8987341772151899E-2"/>
    <x v="0"/>
    <x v="1"/>
    <s v="Average Performer"/>
  </r>
  <r>
    <d v="2026-07-02T00:00:00"/>
    <x v="6"/>
    <x v="0"/>
    <s v="Red"/>
    <x v="0"/>
    <x v="0"/>
    <n v="7"/>
    <n v="97000"/>
    <n v="98800"/>
    <n v="691600"/>
    <n v="679000"/>
    <n v="12600"/>
    <n v="1.8218623481781375E-2"/>
    <x v="0"/>
    <x v="1"/>
    <s v="Average Performer"/>
  </r>
  <r>
    <d v="2026-07-03T00:00:00"/>
    <x v="7"/>
    <x v="0"/>
    <s v="Blue"/>
    <x v="3"/>
    <x v="1"/>
    <n v="13"/>
    <n v="100000"/>
    <n v="101800"/>
    <n v="1323400"/>
    <n v="1300000"/>
    <n v="23400"/>
    <n v="1.768172888015717E-2"/>
    <x v="1"/>
    <x v="0"/>
    <s v="Top Performer"/>
  </r>
  <r>
    <d v="2026-07-04T00:00:00"/>
    <x v="0"/>
    <x v="0"/>
    <s v="Green"/>
    <x v="0"/>
    <x v="2"/>
    <n v="8"/>
    <n v="120000"/>
    <n v="121800"/>
    <n v="974400"/>
    <n v="960000"/>
    <n v="14400"/>
    <n v="1.4778325123152709E-2"/>
    <x v="0"/>
    <x v="0"/>
    <s v="Average Performer"/>
  </r>
  <r>
    <d v="2026-07-05T00:00:00"/>
    <x v="1"/>
    <x v="1"/>
    <s v="Black"/>
    <x v="1"/>
    <x v="3"/>
    <n v="7"/>
    <n v="59000"/>
    <n v="65000"/>
    <n v="455000"/>
    <n v="413000"/>
    <n v="42000"/>
    <n v="9.2307692307692313E-2"/>
    <x v="0"/>
    <x v="1"/>
    <s v="Average Performer"/>
  </r>
  <r>
    <d v="2026-07-06T00:00:00"/>
    <x v="2"/>
    <x v="2"/>
    <s v="Brown"/>
    <x v="2"/>
    <x v="4"/>
    <n v="5"/>
    <n v="45000"/>
    <n v="50000"/>
    <n v="250000"/>
    <n v="225000"/>
    <n v="25000"/>
    <n v="0.1"/>
    <x v="0"/>
    <x v="1"/>
    <s v="Average Performer"/>
  </r>
  <r>
    <d v="2026-07-07T00:00:00"/>
    <x v="3"/>
    <x v="1"/>
    <s v="Red"/>
    <x v="3"/>
    <x v="5"/>
    <n v="14"/>
    <n v="53000"/>
    <n v="59000"/>
    <n v="826000"/>
    <n v="742000"/>
    <n v="84000"/>
    <n v="0.10169491525423729"/>
    <x v="1"/>
    <x v="1"/>
    <s v="Average Performer"/>
  </r>
  <r>
    <d v="2026-07-08T00:00:00"/>
    <x v="4"/>
    <x v="3"/>
    <s v="Blue"/>
    <x v="4"/>
    <x v="6"/>
    <n v="7"/>
    <n v="55000"/>
    <n v="61000"/>
    <n v="427000"/>
    <n v="385000"/>
    <n v="42000"/>
    <n v="9.8360655737704916E-2"/>
    <x v="0"/>
    <x v="1"/>
    <s v="Average Performer"/>
  </r>
  <r>
    <d v="2026-07-09T00:00:00"/>
    <x v="5"/>
    <x v="0"/>
    <s v="Green"/>
    <x v="0"/>
    <x v="7"/>
    <n v="5"/>
    <n v="90000"/>
    <n v="91800"/>
    <n v="459000"/>
    <n v="450000"/>
    <n v="9000"/>
    <n v="1.9607843137254902E-2"/>
    <x v="0"/>
    <x v="1"/>
    <s v="Average Performer"/>
  </r>
  <r>
    <d v="2026-07-10T00:00:00"/>
    <x v="6"/>
    <x v="0"/>
    <s v="Black"/>
    <x v="0"/>
    <x v="8"/>
    <n v="6"/>
    <n v="99000"/>
    <n v="100800"/>
    <n v="604800"/>
    <n v="594000"/>
    <n v="10800"/>
    <n v="1.7857142857142856E-2"/>
    <x v="0"/>
    <x v="0"/>
    <s v="Average Performer"/>
  </r>
  <r>
    <d v="2026-07-11T00:00:00"/>
    <x v="7"/>
    <x v="0"/>
    <s v="Brown"/>
    <x v="3"/>
    <x v="9"/>
    <n v="9"/>
    <n v="100000"/>
    <n v="101800"/>
    <n v="916200"/>
    <n v="900000"/>
    <n v="16200"/>
    <n v="1.768172888015717E-2"/>
    <x v="0"/>
    <x v="0"/>
    <s v="Average Performer"/>
  </r>
  <r>
    <d v="2026-07-12T00:00:00"/>
    <x v="0"/>
    <x v="0"/>
    <s v="Red"/>
    <x v="0"/>
    <x v="10"/>
    <n v="5"/>
    <n v="101000"/>
    <n v="102800"/>
    <n v="514000"/>
    <n v="505000"/>
    <n v="9000"/>
    <n v="1.7509727626459144E-2"/>
    <x v="0"/>
    <x v="0"/>
    <s v="Average Performer"/>
  </r>
  <r>
    <d v="2026-07-13T00:00:00"/>
    <x v="1"/>
    <x v="1"/>
    <s v="Blue"/>
    <x v="1"/>
    <x v="11"/>
    <n v="10"/>
    <n v="55000"/>
    <n v="61000"/>
    <n v="610000"/>
    <n v="550000"/>
    <n v="60000"/>
    <n v="9.8360655737704916E-2"/>
    <x v="0"/>
    <x v="1"/>
    <s v="Average Performer"/>
  </r>
  <r>
    <d v="2026-07-14T00:00:00"/>
    <x v="2"/>
    <x v="2"/>
    <s v="Green"/>
    <x v="2"/>
    <x v="12"/>
    <n v="7"/>
    <n v="41000"/>
    <n v="46000"/>
    <n v="322000"/>
    <n v="287000"/>
    <n v="35000"/>
    <n v="0.10869565217391304"/>
    <x v="0"/>
    <x v="1"/>
    <s v="Average Performer"/>
  </r>
  <r>
    <d v="2026-07-15T00:00:00"/>
    <x v="3"/>
    <x v="1"/>
    <s v="Black"/>
    <x v="3"/>
    <x v="13"/>
    <n v="4"/>
    <n v="71000"/>
    <n v="74000"/>
    <n v="296000"/>
    <n v="284000"/>
    <n v="12000"/>
    <n v="4.0540540540540543E-2"/>
    <x v="0"/>
    <x v="1"/>
    <s v="Average Performer"/>
  </r>
  <r>
    <d v="2026-07-16T00:00:00"/>
    <x v="4"/>
    <x v="3"/>
    <s v="Brown"/>
    <x v="4"/>
    <x v="0"/>
    <n v="5"/>
    <n v="66000"/>
    <n v="72500"/>
    <n v="362500"/>
    <n v="330000"/>
    <n v="32500"/>
    <n v="8.9655172413793102E-2"/>
    <x v="0"/>
    <x v="1"/>
    <s v="Average Performer"/>
  </r>
  <r>
    <d v="2026-07-17T00:00:00"/>
    <x v="5"/>
    <x v="0"/>
    <s v="Red"/>
    <x v="0"/>
    <x v="1"/>
    <n v="6"/>
    <n v="117000"/>
    <n v="118800"/>
    <n v="712800"/>
    <n v="702000"/>
    <n v="10800"/>
    <n v="1.5151515151515152E-2"/>
    <x v="0"/>
    <x v="0"/>
    <s v="Average Performer"/>
  </r>
  <r>
    <d v="2026-07-18T00:00:00"/>
    <x v="6"/>
    <x v="0"/>
    <s v="Blue"/>
    <x v="0"/>
    <x v="2"/>
    <n v="4"/>
    <n v="88000"/>
    <n v="89800"/>
    <n v="359200"/>
    <n v="352000"/>
    <n v="7200"/>
    <n v="2.0044543429844099E-2"/>
    <x v="0"/>
    <x v="1"/>
    <s v="Average Performer"/>
  </r>
  <r>
    <d v="2026-07-19T00:00:00"/>
    <x v="7"/>
    <x v="0"/>
    <s v="Green"/>
    <x v="3"/>
    <x v="3"/>
    <n v="3"/>
    <n v="112000"/>
    <n v="113800"/>
    <n v="341400"/>
    <n v="336000"/>
    <n v="5400"/>
    <n v="1.5817223198594025E-2"/>
    <x v="0"/>
    <x v="0"/>
    <s v="Average Performer"/>
  </r>
  <r>
    <d v="2026-07-20T00:00:00"/>
    <x v="1"/>
    <x v="1"/>
    <s v="Brown"/>
    <x v="3"/>
    <x v="7"/>
    <n v="9"/>
    <n v="62000"/>
    <n v="68500"/>
    <n v="616500"/>
    <n v="558000"/>
    <n v="58500"/>
    <n v="9.4890510948905105E-2"/>
    <x v="0"/>
    <x v="1"/>
    <s v="Average Performer"/>
  </r>
  <r>
    <d v="2026-07-21T00:00:00"/>
    <x v="4"/>
    <x v="3"/>
    <s v="Red"/>
    <x v="3"/>
    <x v="13"/>
    <n v="11"/>
    <n v="62000"/>
    <n v="68500"/>
    <n v="753500"/>
    <n v="682000"/>
    <n v="71500"/>
    <n v="9.4890510948905105E-2"/>
    <x v="1"/>
    <x v="1"/>
    <s v="Average Performer"/>
  </r>
  <r>
    <d v="2026-07-22T00:00:00"/>
    <x v="4"/>
    <x v="3"/>
    <s v="Blue"/>
    <x v="3"/>
    <x v="5"/>
    <n v="10"/>
    <n v="63000"/>
    <n v="69500"/>
    <n v="695000"/>
    <n v="630000"/>
    <n v="65000"/>
    <n v="9.3525179856115109E-2"/>
    <x v="0"/>
    <x v="1"/>
    <s v="Average Performer"/>
  </r>
  <r>
    <d v="2026-07-23T00:00:00"/>
    <x v="4"/>
    <x v="3"/>
    <s v="Brown"/>
    <x v="1"/>
    <x v="13"/>
    <n v="11"/>
    <n v="61000"/>
    <n v="67500"/>
    <n v="742500"/>
    <n v="671000"/>
    <n v="71500"/>
    <n v="9.6296296296296297E-2"/>
    <x v="1"/>
    <x v="1"/>
    <s v="Average Performer"/>
  </r>
  <r>
    <d v="2026-07-24T00:00:00"/>
    <x v="2"/>
    <x v="2"/>
    <s v="Blue"/>
    <x v="0"/>
    <x v="9"/>
    <n v="2"/>
    <n v="44000"/>
    <n v="49000"/>
    <n v="98000"/>
    <n v="88000"/>
    <n v="10000"/>
    <n v="0.10204081632653061"/>
    <x v="0"/>
    <x v="1"/>
    <s v="Average Performer"/>
  </r>
  <r>
    <d v="2026-07-25T00:00:00"/>
    <x v="5"/>
    <x v="0"/>
    <s v="Green"/>
    <x v="0"/>
    <x v="13"/>
    <n v="11"/>
    <n v="108000"/>
    <n v="109800"/>
    <n v="1207800"/>
    <n v="1188000"/>
    <n v="19800"/>
    <n v="1.6393442622950821E-2"/>
    <x v="1"/>
    <x v="0"/>
    <s v="Top Performer"/>
  </r>
  <r>
    <d v="2026-07-26T00:00:00"/>
    <x v="2"/>
    <x v="2"/>
    <s v="Green"/>
    <x v="2"/>
    <x v="3"/>
    <n v="4"/>
    <n v="49000"/>
    <n v="54000"/>
    <n v="216000"/>
    <n v="196000"/>
    <n v="20000"/>
    <n v="9.2592592592592587E-2"/>
    <x v="0"/>
    <x v="1"/>
    <s v="Average Performer"/>
  </r>
  <r>
    <d v="2026-07-27T00:00:00"/>
    <x v="2"/>
    <x v="2"/>
    <s v="Green"/>
    <x v="2"/>
    <x v="0"/>
    <n v="2"/>
    <n v="42000"/>
    <n v="47000"/>
    <n v="94000"/>
    <n v="84000"/>
    <n v="10000"/>
    <n v="0.10638297872340426"/>
    <x v="0"/>
    <x v="1"/>
    <s v="Average Performer"/>
  </r>
  <r>
    <d v="2026-07-28T00:00:00"/>
    <x v="2"/>
    <x v="2"/>
    <s v="Red"/>
    <x v="2"/>
    <x v="7"/>
    <n v="7"/>
    <n v="54000"/>
    <n v="60000"/>
    <n v="420000"/>
    <n v="378000"/>
    <n v="42000"/>
    <n v="0.1"/>
    <x v="0"/>
    <x v="1"/>
    <s v="Average Performer"/>
  </r>
  <r>
    <d v="2026-07-29T00:00:00"/>
    <x v="1"/>
    <x v="1"/>
    <s v="Green"/>
    <x v="1"/>
    <x v="9"/>
    <n v="10"/>
    <n v="63000"/>
    <n v="69500"/>
    <n v="695000"/>
    <n v="630000"/>
    <n v="65000"/>
    <n v="9.3525179856115109E-2"/>
    <x v="0"/>
    <x v="1"/>
    <s v="Average Performer"/>
  </r>
  <r>
    <d v="2026-07-30T00:00:00"/>
    <x v="1"/>
    <x v="1"/>
    <s v="Black"/>
    <x v="3"/>
    <x v="4"/>
    <n v="6"/>
    <n v="50000"/>
    <n v="55000"/>
    <n v="330000"/>
    <n v="300000"/>
    <n v="30000"/>
    <n v="9.0909090909090912E-2"/>
    <x v="0"/>
    <x v="1"/>
    <s v="Average Performer"/>
  </r>
  <r>
    <d v="2026-07-31T00:00:00"/>
    <x v="4"/>
    <x v="3"/>
    <s v="Brown"/>
    <x v="0"/>
    <x v="0"/>
    <n v="6"/>
    <n v="67000"/>
    <n v="73500"/>
    <n v="441000"/>
    <n v="402000"/>
    <n v="39000"/>
    <n v="8.8435374149659865E-2"/>
    <x v="0"/>
    <x v="1"/>
    <s v="Average Performer"/>
  </r>
  <r>
    <d v="2026-08-01T00:00:00"/>
    <x v="1"/>
    <x v="1"/>
    <s v="Green"/>
    <x v="0"/>
    <x v="12"/>
    <n v="6"/>
    <n v="61000"/>
    <n v="67500"/>
    <n v="405000"/>
    <n v="366000"/>
    <n v="39000"/>
    <n v="9.6296296296296297E-2"/>
    <x v="0"/>
    <x v="1"/>
    <s v="Average Performer"/>
  </r>
  <r>
    <d v="2026-08-02T00:00:00"/>
    <x v="6"/>
    <x v="0"/>
    <s v="Green"/>
    <x v="1"/>
    <x v="10"/>
    <n v="9"/>
    <n v="104000"/>
    <n v="105800"/>
    <n v="952200"/>
    <n v="936000"/>
    <n v="16200"/>
    <n v="1.7013232514177693E-2"/>
    <x v="0"/>
    <x v="0"/>
    <s v="Average Performer"/>
  </r>
  <r>
    <d v="2026-08-03T00:00:00"/>
    <x v="2"/>
    <x v="2"/>
    <s v="Green"/>
    <x v="0"/>
    <x v="2"/>
    <n v="4"/>
    <n v="46000"/>
    <n v="51000"/>
    <n v="204000"/>
    <n v="184000"/>
    <n v="20000"/>
    <n v="9.8039215686274508E-2"/>
    <x v="0"/>
    <x v="1"/>
    <s v="Average Performer"/>
  </r>
  <r>
    <d v="2026-08-04T00:00:00"/>
    <x v="5"/>
    <x v="0"/>
    <s v="Green"/>
    <x v="2"/>
    <x v="5"/>
    <n v="11"/>
    <n v="102000"/>
    <n v="103800"/>
    <n v="1141800"/>
    <n v="1122000"/>
    <n v="19800"/>
    <n v="1.7341040462427744E-2"/>
    <x v="1"/>
    <x v="0"/>
    <s v="Top Performer"/>
  </r>
  <r>
    <d v="2026-08-05T00:00:00"/>
    <x v="4"/>
    <x v="3"/>
    <s v="Green"/>
    <x v="3"/>
    <x v="11"/>
    <n v="1"/>
    <n v="73000"/>
    <n v="76000"/>
    <n v="76000"/>
    <n v="73000"/>
    <n v="3000"/>
    <n v="3.9473684210526314E-2"/>
    <x v="0"/>
    <x v="1"/>
    <s v="Average Performer"/>
  </r>
  <r>
    <d v="2026-08-06T00:00:00"/>
    <x v="6"/>
    <x v="0"/>
    <s v="Brown"/>
    <x v="3"/>
    <x v="5"/>
    <n v="10"/>
    <n v="94000"/>
    <n v="95800"/>
    <n v="958000"/>
    <n v="940000"/>
    <n v="18000"/>
    <n v="1.8789144050104383E-2"/>
    <x v="0"/>
    <x v="1"/>
    <s v="Average Performer"/>
  </r>
  <r>
    <d v="2026-08-07T00:00:00"/>
    <x v="0"/>
    <x v="0"/>
    <s v="Green"/>
    <x v="4"/>
    <x v="2"/>
    <n v="6"/>
    <n v="123000"/>
    <n v="124800"/>
    <n v="748800"/>
    <n v="738000"/>
    <n v="10800"/>
    <n v="1.4423076923076924E-2"/>
    <x v="0"/>
    <x v="0"/>
    <s v="Average Performer"/>
  </r>
  <r>
    <d v="2026-08-08T00:00:00"/>
    <x v="1"/>
    <x v="1"/>
    <s v="Blue"/>
    <x v="2"/>
    <x v="3"/>
    <n v="10"/>
    <n v="60000"/>
    <n v="66000"/>
    <n v="660000"/>
    <n v="600000"/>
    <n v="60000"/>
    <n v="9.0909090909090912E-2"/>
    <x v="0"/>
    <x v="1"/>
    <s v="Average Performer"/>
  </r>
  <r>
    <d v="2026-08-09T00:00:00"/>
    <x v="7"/>
    <x v="0"/>
    <s v="Red"/>
    <x v="0"/>
    <x v="12"/>
    <n v="10"/>
    <n v="117000"/>
    <n v="118800"/>
    <n v="1188000"/>
    <n v="1170000"/>
    <n v="18000"/>
    <n v="1.5151515151515152E-2"/>
    <x v="0"/>
    <x v="0"/>
    <s v="Top Performer"/>
  </r>
  <r>
    <d v="2026-08-10T00:00:00"/>
    <x v="4"/>
    <x v="3"/>
    <s v="Blue"/>
    <x v="0"/>
    <x v="2"/>
    <n v="11"/>
    <n v="76000"/>
    <n v="79000"/>
    <n v="869000"/>
    <n v="836000"/>
    <n v="33000"/>
    <n v="3.7974683544303799E-2"/>
    <x v="1"/>
    <x v="1"/>
    <s v="Average Performer"/>
  </r>
  <r>
    <d v="2026-08-11T00:00:00"/>
    <x v="3"/>
    <x v="1"/>
    <s v="Black"/>
    <x v="1"/>
    <x v="9"/>
    <n v="1"/>
    <n v="72000"/>
    <n v="75000"/>
    <n v="75000"/>
    <n v="72000"/>
    <n v="3000"/>
    <n v="0.04"/>
    <x v="0"/>
    <x v="1"/>
    <s v="Average Performer"/>
  </r>
  <r>
    <d v="2026-08-12T00:00:00"/>
    <x v="0"/>
    <x v="0"/>
    <s v="Red"/>
    <x v="2"/>
    <x v="8"/>
    <n v="6"/>
    <n v="140000"/>
    <n v="141800"/>
    <n v="850800"/>
    <n v="840000"/>
    <n v="10800"/>
    <n v="1.2693935119887164E-2"/>
    <x v="0"/>
    <x v="0"/>
    <s v="Average Performer"/>
  </r>
  <r>
    <d v="2026-08-13T00:00:00"/>
    <x v="3"/>
    <x v="1"/>
    <s v="Red"/>
    <x v="2"/>
    <x v="11"/>
    <n v="13"/>
    <n v="60000"/>
    <n v="66000"/>
    <n v="858000"/>
    <n v="780000"/>
    <n v="78000"/>
    <n v="9.0909090909090912E-2"/>
    <x v="1"/>
    <x v="1"/>
    <s v="Average Performer"/>
  </r>
  <r>
    <d v="2026-08-14T00:00:00"/>
    <x v="5"/>
    <x v="0"/>
    <s v="Blue"/>
    <x v="3"/>
    <x v="3"/>
    <n v="9"/>
    <n v="113000"/>
    <n v="114800"/>
    <n v="1033200"/>
    <n v="1017000"/>
    <n v="16200"/>
    <n v="1.5679442508710801E-2"/>
    <x v="0"/>
    <x v="0"/>
    <s v="Top Performer"/>
  </r>
  <r>
    <d v="2026-08-15T00:00:00"/>
    <x v="5"/>
    <x v="0"/>
    <s v="Red"/>
    <x v="2"/>
    <x v="13"/>
    <n v="2"/>
    <n v="95000"/>
    <n v="96800"/>
    <n v="193600"/>
    <n v="190000"/>
    <n v="3600"/>
    <n v="1.859504132231405E-2"/>
    <x v="0"/>
    <x v="1"/>
    <s v="Average Performer"/>
  </r>
  <r>
    <d v="2026-08-16T00:00:00"/>
    <x v="2"/>
    <x v="2"/>
    <s v="Blue"/>
    <x v="0"/>
    <x v="3"/>
    <n v="4"/>
    <n v="54000"/>
    <n v="60000"/>
    <n v="240000"/>
    <n v="216000"/>
    <n v="24000"/>
    <n v="0.1"/>
    <x v="0"/>
    <x v="1"/>
    <s v="Average Performer"/>
  </r>
  <r>
    <d v="2026-08-17T00:00:00"/>
    <x v="4"/>
    <x v="3"/>
    <s v="Red"/>
    <x v="0"/>
    <x v="11"/>
    <n v="13"/>
    <n v="62000"/>
    <n v="68500"/>
    <n v="890500"/>
    <n v="806000"/>
    <n v="84500"/>
    <n v="9.4890510948905105E-2"/>
    <x v="1"/>
    <x v="1"/>
    <s v="Average Performer"/>
  </r>
  <r>
    <d v="2026-08-18T00:00:00"/>
    <x v="7"/>
    <x v="0"/>
    <s v="Red"/>
    <x v="0"/>
    <x v="12"/>
    <n v="7"/>
    <n v="123000"/>
    <n v="124800"/>
    <n v="873600"/>
    <n v="861000"/>
    <n v="12600"/>
    <n v="1.4423076923076924E-2"/>
    <x v="0"/>
    <x v="0"/>
    <s v="Average Performer"/>
  </r>
  <r>
    <d v="2026-08-19T00:00:00"/>
    <x v="6"/>
    <x v="0"/>
    <s v="Blue"/>
    <x v="4"/>
    <x v="13"/>
    <n v="8"/>
    <n v="83000"/>
    <n v="84800"/>
    <n v="678400"/>
    <n v="664000"/>
    <n v="14400"/>
    <n v="2.1226415094339621E-2"/>
    <x v="0"/>
    <x v="1"/>
    <s v="Average Performer"/>
  </r>
  <r>
    <d v="2026-08-20T00:00:00"/>
    <x v="0"/>
    <x v="0"/>
    <s v="Green"/>
    <x v="2"/>
    <x v="4"/>
    <n v="11"/>
    <n v="109000"/>
    <n v="110800"/>
    <n v="1218800"/>
    <n v="1199000"/>
    <n v="19800"/>
    <n v="1.6245487364620937E-2"/>
    <x v="1"/>
    <x v="0"/>
    <s v="Top Performer"/>
  </r>
  <r>
    <d v="2026-08-21T00:00:00"/>
    <x v="7"/>
    <x v="0"/>
    <s v="Green"/>
    <x v="0"/>
    <x v="1"/>
    <n v="11"/>
    <n v="112000"/>
    <n v="113800"/>
    <n v="1251800"/>
    <n v="1232000"/>
    <n v="19800"/>
    <n v="1.5817223198594025E-2"/>
    <x v="1"/>
    <x v="0"/>
    <s v="Top Performer"/>
  </r>
  <r>
    <d v="2026-08-22T00:00:00"/>
    <x v="2"/>
    <x v="2"/>
    <s v="Red"/>
    <x v="3"/>
    <x v="1"/>
    <n v="6"/>
    <n v="40000"/>
    <n v="45000"/>
    <n v="270000"/>
    <n v="240000"/>
    <n v="30000"/>
    <n v="0.1111111111111111"/>
    <x v="0"/>
    <x v="1"/>
    <s v="Average Performer"/>
  </r>
  <r>
    <d v="2026-08-23T00:00:00"/>
    <x v="7"/>
    <x v="0"/>
    <s v="Black"/>
    <x v="0"/>
    <x v="10"/>
    <n v="14"/>
    <n v="133000"/>
    <n v="134800"/>
    <n v="1887200"/>
    <n v="1862000"/>
    <n v="25200"/>
    <n v="1.3353115727002967E-2"/>
    <x v="1"/>
    <x v="0"/>
    <s v="Top Performer"/>
  </r>
  <r>
    <d v="2026-08-24T00:00:00"/>
    <x v="7"/>
    <x v="0"/>
    <s v="Brown"/>
    <x v="3"/>
    <x v="1"/>
    <n v="15"/>
    <n v="115000"/>
    <n v="116800"/>
    <n v="1752000"/>
    <n v="1725000"/>
    <n v="27000"/>
    <n v="1.5410958904109588E-2"/>
    <x v="1"/>
    <x v="0"/>
    <s v="Top Performer"/>
  </r>
  <r>
    <d v="2026-08-25T00:00:00"/>
    <x v="2"/>
    <x v="2"/>
    <s v="Brown"/>
    <x v="1"/>
    <x v="10"/>
    <n v="4"/>
    <n v="54000"/>
    <n v="60000"/>
    <n v="240000"/>
    <n v="216000"/>
    <n v="24000"/>
    <n v="0.1"/>
    <x v="0"/>
    <x v="1"/>
    <s v="Average Performer"/>
  </r>
  <r>
    <d v="2026-08-26T00:00:00"/>
    <x v="2"/>
    <x v="2"/>
    <s v="Black"/>
    <x v="4"/>
    <x v="2"/>
    <n v="14"/>
    <n v="43000"/>
    <n v="48000"/>
    <n v="672000"/>
    <n v="602000"/>
    <n v="70000"/>
    <n v="0.10416666666666667"/>
    <x v="1"/>
    <x v="1"/>
    <s v="Average Performer"/>
  </r>
  <r>
    <d v="2026-08-27T00:00:00"/>
    <x v="6"/>
    <x v="0"/>
    <s v="Green"/>
    <x v="3"/>
    <x v="13"/>
    <n v="10"/>
    <n v="97000"/>
    <n v="98800"/>
    <n v="988000"/>
    <n v="970000"/>
    <n v="18000"/>
    <n v="1.8218623481781375E-2"/>
    <x v="0"/>
    <x v="1"/>
    <s v="Average Performer"/>
  </r>
  <r>
    <d v="2026-08-28T00:00:00"/>
    <x v="3"/>
    <x v="1"/>
    <s v="Red"/>
    <x v="0"/>
    <x v="3"/>
    <n v="3"/>
    <n v="64000"/>
    <n v="70500"/>
    <n v="211500"/>
    <n v="192000"/>
    <n v="19500"/>
    <n v="9.2198581560283682E-2"/>
    <x v="0"/>
    <x v="1"/>
    <s v="Average Performer"/>
  </r>
  <r>
    <d v="2026-08-29T00:00:00"/>
    <x v="0"/>
    <x v="0"/>
    <s v="Black"/>
    <x v="0"/>
    <x v="9"/>
    <n v="6"/>
    <n v="139000"/>
    <n v="140800"/>
    <n v="844800"/>
    <n v="834000"/>
    <n v="10800"/>
    <n v="1.278409090909091E-2"/>
    <x v="0"/>
    <x v="0"/>
    <s v="Average Performer"/>
  </r>
  <r>
    <d v="2026-08-30T00:00:00"/>
    <x v="5"/>
    <x v="0"/>
    <s v="Brown"/>
    <x v="3"/>
    <x v="8"/>
    <n v="1"/>
    <n v="110000"/>
    <n v="111800"/>
    <n v="111800"/>
    <n v="110000"/>
    <n v="1800"/>
    <n v="1.6100178890876567E-2"/>
    <x v="0"/>
    <x v="0"/>
    <s v="Average Performer"/>
  </r>
  <r>
    <d v="2026-08-31T00:00:00"/>
    <x v="7"/>
    <x v="0"/>
    <s v="Blue"/>
    <x v="0"/>
    <x v="6"/>
    <n v="8"/>
    <n v="120000"/>
    <n v="121800"/>
    <n v="974400"/>
    <n v="960000"/>
    <n v="14400"/>
    <n v="1.4778325123152709E-2"/>
    <x v="0"/>
    <x v="0"/>
    <s v="Average Performer"/>
  </r>
  <r>
    <d v="2026-09-01T00:00:00"/>
    <x v="4"/>
    <x v="3"/>
    <s v="Blue"/>
    <x v="4"/>
    <x v="7"/>
    <n v="8"/>
    <n v="68000"/>
    <n v="74500"/>
    <n v="596000"/>
    <n v="544000"/>
    <n v="52000"/>
    <n v="8.7248322147651006E-2"/>
    <x v="0"/>
    <x v="1"/>
    <s v="Average Performer"/>
  </r>
  <r>
    <d v="2026-09-02T00:00:00"/>
    <x v="1"/>
    <x v="1"/>
    <s v="Brown"/>
    <x v="1"/>
    <x v="9"/>
    <n v="1"/>
    <n v="62000"/>
    <n v="68500"/>
    <n v="68500"/>
    <n v="62000"/>
    <n v="6500"/>
    <n v="9.4890510948905105E-2"/>
    <x v="0"/>
    <x v="1"/>
    <s v="Average Performer"/>
  </r>
  <r>
    <d v="2026-09-03T00:00:00"/>
    <x v="5"/>
    <x v="0"/>
    <s v="Red"/>
    <x v="4"/>
    <x v="11"/>
    <n v="3"/>
    <n v="103000"/>
    <n v="104800"/>
    <n v="314400"/>
    <n v="309000"/>
    <n v="5400"/>
    <n v="1.717557251908397E-2"/>
    <x v="0"/>
    <x v="0"/>
    <s v="Average Performer"/>
  </r>
  <r>
    <d v="2026-09-04T00:00:00"/>
    <x v="4"/>
    <x v="3"/>
    <s v="Red"/>
    <x v="1"/>
    <x v="9"/>
    <n v="13"/>
    <n v="76000"/>
    <n v="79000"/>
    <n v="1027000"/>
    <n v="988000"/>
    <n v="39000"/>
    <n v="3.7974683544303799E-2"/>
    <x v="1"/>
    <x v="1"/>
    <s v="Top Performer"/>
  </r>
  <r>
    <d v="2026-09-05T00:00:00"/>
    <x v="3"/>
    <x v="1"/>
    <s v="Black"/>
    <x v="0"/>
    <x v="13"/>
    <n v="13"/>
    <n v="66000"/>
    <n v="72500"/>
    <n v="942500"/>
    <n v="858000"/>
    <n v="84500"/>
    <n v="8.9655172413793102E-2"/>
    <x v="1"/>
    <x v="1"/>
    <s v="Average Performer"/>
  </r>
  <r>
    <d v="2026-09-06T00:00:00"/>
    <x v="7"/>
    <x v="0"/>
    <s v="Black"/>
    <x v="3"/>
    <x v="6"/>
    <n v="4"/>
    <n v="127000"/>
    <n v="128800"/>
    <n v="515200"/>
    <n v="508000"/>
    <n v="7200"/>
    <n v="1.3975155279503106E-2"/>
    <x v="0"/>
    <x v="0"/>
    <s v="Average Performer"/>
  </r>
  <r>
    <d v="2026-09-07T00:00:00"/>
    <x v="4"/>
    <x v="3"/>
    <s v="Black"/>
    <x v="3"/>
    <x v="2"/>
    <n v="2"/>
    <n v="77000"/>
    <n v="80000"/>
    <n v="160000"/>
    <n v="154000"/>
    <n v="6000"/>
    <n v="3.7499999999999999E-2"/>
    <x v="0"/>
    <x v="1"/>
    <s v="Average Performer"/>
  </r>
  <r>
    <d v="2026-09-08T00:00:00"/>
    <x v="5"/>
    <x v="0"/>
    <s v="Black"/>
    <x v="0"/>
    <x v="5"/>
    <n v="5"/>
    <n v="121000"/>
    <n v="122800"/>
    <n v="614000"/>
    <n v="605000"/>
    <n v="9000"/>
    <n v="1.4657980456026058E-2"/>
    <x v="0"/>
    <x v="0"/>
    <s v="Average Performer"/>
  </r>
  <r>
    <d v="2026-09-09T00:00:00"/>
    <x v="2"/>
    <x v="2"/>
    <s v="Red"/>
    <x v="1"/>
    <x v="6"/>
    <n v="14"/>
    <n v="46000"/>
    <n v="51000"/>
    <n v="714000"/>
    <n v="644000"/>
    <n v="70000"/>
    <n v="9.8039215686274508E-2"/>
    <x v="1"/>
    <x v="1"/>
    <s v="Average Performer"/>
  </r>
  <r>
    <d v="2026-09-10T00:00:00"/>
    <x v="5"/>
    <x v="0"/>
    <s v="Blue"/>
    <x v="1"/>
    <x v="11"/>
    <n v="7"/>
    <n v="101000"/>
    <n v="102800"/>
    <n v="719600"/>
    <n v="707000"/>
    <n v="12600"/>
    <n v="1.7509727626459144E-2"/>
    <x v="0"/>
    <x v="0"/>
    <s v="Average Performer"/>
  </r>
  <r>
    <d v="2026-09-11T00:00:00"/>
    <x v="6"/>
    <x v="0"/>
    <s v="Green"/>
    <x v="1"/>
    <x v="12"/>
    <n v="15"/>
    <n v="104000"/>
    <n v="105800"/>
    <n v="1587000"/>
    <n v="1560000"/>
    <n v="27000"/>
    <n v="1.7013232514177693E-2"/>
    <x v="1"/>
    <x v="0"/>
    <s v="Top Performer"/>
  </r>
  <r>
    <d v="2026-09-12T00:00:00"/>
    <x v="4"/>
    <x v="3"/>
    <s v="Red"/>
    <x v="3"/>
    <x v="11"/>
    <n v="4"/>
    <n v="61000"/>
    <n v="67500"/>
    <n v="270000"/>
    <n v="244000"/>
    <n v="26000"/>
    <n v="9.6296296296296297E-2"/>
    <x v="0"/>
    <x v="1"/>
    <s v="Average Performer"/>
  </r>
  <r>
    <d v="2026-09-13T00:00:00"/>
    <x v="6"/>
    <x v="0"/>
    <s v="Red"/>
    <x v="2"/>
    <x v="13"/>
    <n v="4"/>
    <n v="100000"/>
    <n v="101800"/>
    <n v="407200"/>
    <n v="400000"/>
    <n v="7200"/>
    <n v="1.768172888015717E-2"/>
    <x v="0"/>
    <x v="0"/>
    <s v="Average Performer"/>
  </r>
  <r>
    <d v="2026-09-14T00:00:00"/>
    <x v="4"/>
    <x v="3"/>
    <s v="Black"/>
    <x v="4"/>
    <x v="10"/>
    <n v="1"/>
    <n v="74000"/>
    <n v="77000"/>
    <n v="77000"/>
    <n v="74000"/>
    <n v="3000"/>
    <n v="3.896103896103896E-2"/>
    <x v="0"/>
    <x v="1"/>
    <s v="Average Performer"/>
  </r>
  <r>
    <d v="2026-09-15T00:00:00"/>
    <x v="7"/>
    <x v="0"/>
    <s v="Red"/>
    <x v="3"/>
    <x v="1"/>
    <n v="12"/>
    <n v="133000"/>
    <n v="134800"/>
    <n v="1617600"/>
    <n v="1596000"/>
    <n v="21600"/>
    <n v="1.3353115727002967E-2"/>
    <x v="1"/>
    <x v="0"/>
    <s v="Top Performer"/>
  </r>
  <r>
    <d v="2026-09-16T00:00:00"/>
    <x v="3"/>
    <x v="1"/>
    <s v="Blue"/>
    <x v="0"/>
    <x v="13"/>
    <n v="3"/>
    <n v="65000"/>
    <n v="71500"/>
    <n v="214500"/>
    <n v="195000"/>
    <n v="19500"/>
    <n v="9.0909090909090912E-2"/>
    <x v="0"/>
    <x v="1"/>
    <s v="Average Performer"/>
  </r>
  <r>
    <d v="2026-09-17T00:00:00"/>
    <x v="7"/>
    <x v="0"/>
    <s v="Brown"/>
    <x v="0"/>
    <x v="2"/>
    <n v="9"/>
    <n v="112000"/>
    <n v="113800"/>
    <n v="1024200"/>
    <n v="1008000"/>
    <n v="16200"/>
    <n v="1.5817223198594025E-2"/>
    <x v="0"/>
    <x v="0"/>
    <s v="Top Performer"/>
  </r>
  <r>
    <d v="2026-09-18T00:00:00"/>
    <x v="7"/>
    <x v="0"/>
    <s v="Red"/>
    <x v="3"/>
    <x v="1"/>
    <n v="15"/>
    <n v="136000"/>
    <n v="137800"/>
    <n v="2067000"/>
    <n v="2040000"/>
    <n v="27000"/>
    <n v="1.3062409288824383E-2"/>
    <x v="1"/>
    <x v="0"/>
    <s v="Top Performer"/>
  </r>
  <r>
    <d v="2026-09-19T00:00:00"/>
    <x v="5"/>
    <x v="0"/>
    <s v="Blue"/>
    <x v="4"/>
    <x v="4"/>
    <n v="7"/>
    <n v="107000"/>
    <n v="108800"/>
    <n v="761600"/>
    <n v="749000"/>
    <n v="12600"/>
    <n v="1.6544117647058824E-2"/>
    <x v="0"/>
    <x v="0"/>
    <s v="Average Performer"/>
  </r>
  <r>
    <d v="2026-09-20T00:00:00"/>
    <x v="1"/>
    <x v="1"/>
    <s v="Black"/>
    <x v="1"/>
    <x v="13"/>
    <n v="9"/>
    <n v="57000"/>
    <n v="63000"/>
    <n v="567000"/>
    <n v="513000"/>
    <n v="54000"/>
    <n v="9.5238095238095233E-2"/>
    <x v="0"/>
    <x v="1"/>
    <s v="Average Performer"/>
  </r>
  <r>
    <d v="2026-09-21T00:00:00"/>
    <x v="0"/>
    <x v="0"/>
    <s v="Green"/>
    <x v="1"/>
    <x v="5"/>
    <n v="11"/>
    <n v="118000"/>
    <n v="119800"/>
    <n v="1317800"/>
    <n v="1298000"/>
    <n v="19800"/>
    <n v="1.5025041736227046E-2"/>
    <x v="1"/>
    <x v="0"/>
    <s v="Top Performer"/>
  </r>
  <r>
    <d v="2026-09-22T00:00:00"/>
    <x v="6"/>
    <x v="0"/>
    <s v="Blue"/>
    <x v="2"/>
    <x v="5"/>
    <n v="2"/>
    <n v="85000"/>
    <n v="86800"/>
    <n v="173600"/>
    <n v="170000"/>
    <n v="3600"/>
    <n v="2.0737327188940093E-2"/>
    <x v="0"/>
    <x v="1"/>
    <s v="Average Performer"/>
  </r>
  <r>
    <d v="2026-09-23T00:00:00"/>
    <x v="3"/>
    <x v="1"/>
    <s v="Green"/>
    <x v="4"/>
    <x v="1"/>
    <n v="11"/>
    <n v="66000"/>
    <n v="72500"/>
    <n v="797500"/>
    <n v="726000"/>
    <n v="71500"/>
    <n v="8.9655172413793102E-2"/>
    <x v="1"/>
    <x v="1"/>
    <s v="Average Performer"/>
  </r>
  <r>
    <d v="2026-09-24T00:00:00"/>
    <x v="1"/>
    <x v="1"/>
    <s v="Blue"/>
    <x v="3"/>
    <x v="1"/>
    <n v="2"/>
    <n v="64000"/>
    <n v="70500"/>
    <n v="141000"/>
    <n v="128000"/>
    <n v="13000"/>
    <n v="9.2198581560283682E-2"/>
    <x v="0"/>
    <x v="1"/>
    <s v="Average Performer"/>
  </r>
  <r>
    <d v="2026-09-25T00:00:00"/>
    <x v="3"/>
    <x v="1"/>
    <s v="Brown"/>
    <x v="0"/>
    <x v="1"/>
    <n v="9"/>
    <n v="61000"/>
    <n v="67500"/>
    <n v="607500"/>
    <n v="549000"/>
    <n v="58500"/>
    <n v="9.6296296296296297E-2"/>
    <x v="0"/>
    <x v="1"/>
    <s v="Average Performer"/>
  </r>
  <r>
    <d v="2026-09-26T00:00:00"/>
    <x v="0"/>
    <x v="0"/>
    <s v="Black"/>
    <x v="2"/>
    <x v="6"/>
    <n v="1"/>
    <n v="137000"/>
    <n v="138800"/>
    <n v="138800"/>
    <n v="137000"/>
    <n v="1800"/>
    <n v="1.2968299711815562E-2"/>
    <x v="0"/>
    <x v="0"/>
    <s v="Average Performer"/>
  </r>
  <r>
    <d v="2026-09-27T00:00:00"/>
    <x v="7"/>
    <x v="0"/>
    <s v="Black"/>
    <x v="3"/>
    <x v="11"/>
    <n v="2"/>
    <n v="99000"/>
    <n v="100800"/>
    <n v="201600"/>
    <n v="198000"/>
    <n v="3600"/>
    <n v="1.7857142857142856E-2"/>
    <x v="0"/>
    <x v="0"/>
    <s v="Average Performer"/>
  </r>
  <r>
    <d v="2026-09-28T00:00:00"/>
    <x v="3"/>
    <x v="1"/>
    <s v="Brown"/>
    <x v="2"/>
    <x v="2"/>
    <n v="4"/>
    <n v="67000"/>
    <n v="73500"/>
    <n v="294000"/>
    <n v="268000"/>
    <n v="26000"/>
    <n v="8.8435374149659865E-2"/>
    <x v="0"/>
    <x v="1"/>
    <s v="Average Performer"/>
  </r>
  <r>
    <d v="2026-09-29T00:00:00"/>
    <x v="2"/>
    <x v="2"/>
    <s v="Blue"/>
    <x v="3"/>
    <x v="9"/>
    <n v="13"/>
    <n v="50000"/>
    <n v="55000"/>
    <n v="715000"/>
    <n v="650000"/>
    <n v="65000"/>
    <n v="9.0909090909090912E-2"/>
    <x v="1"/>
    <x v="1"/>
    <s v="Average Performer"/>
  </r>
  <r>
    <d v="2026-09-30T00:00:00"/>
    <x v="5"/>
    <x v="0"/>
    <s v="Green"/>
    <x v="1"/>
    <x v="3"/>
    <n v="13"/>
    <n v="121000"/>
    <n v="122800"/>
    <n v="1596400"/>
    <n v="1573000"/>
    <n v="23400"/>
    <n v="1.4657980456026058E-2"/>
    <x v="1"/>
    <x v="0"/>
    <s v="Top Performer"/>
  </r>
  <r>
    <d v="2026-10-01T00:00:00"/>
    <x v="3"/>
    <x v="1"/>
    <s v="Brown"/>
    <x v="2"/>
    <x v="12"/>
    <n v="13"/>
    <n v="70000"/>
    <n v="76500"/>
    <n v="994500"/>
    <n v="910000"/>
    <n v="84500"/>
    <n v="8.4967320261437912E-2"/>
    <x v="1"/>
    <x v="1"/>
    <s v="Average Performer"/>
  </r>
  <r>
    <d v="2026-10-02T00:00:00"/>
    <x v="4"/>
    <x v="3"/>
    <s v="Brown"/>
    <x v="1"/>
    <x v="6"/>
    <n v="5"/>
    <n v="61000"/>
    <n v="67500"/>
    <n v="337500"/>
    <n v="305000"/>
    <n v="32500"/>
    <n v="9.6296296296296297E-2"/>
    <x v="0"/>
    <x v="1"/>
    <s v="Average Performer"/>
  </r>
  <r>
    <d v="2026-10-03T00:00:00"/>
    <x v="1"/>
    <x v="1"/>
    <s v="Red"/>
    <x v="3"/>
    <x v="12"/>
    <n v="4"/>
    <n v="54000"/>
    <n v="60000"/>
    <n v="240000"/>
    <n v="216000"/>
    <n v="24000"/>
    <n v="0.1"/>
    <x v="0"/>
    <x v="1"/>
    <s v="Average Performer"/>
  </r>
  <r>
    <d v="2026-10-04T00:00:00"/>
    <x v="4"/>
    <x v="3"/>
    <s v="Green"/>
    <x v="4"/>
    <x v="10"/>
    <n v="5"/>
    <n v="56000"/>
    <n v="62000"/>
    <n v="310000"/>
    <n v="280000"/>
    <n v="30000"/>
    <n v="9.6774193548387094E-2"/>
    <x v="0"/>
    <x v="1"/>
    <s v="Average Performer"/>
  </r>
  <r>
    <d v="2026-10-05T00:00:00"/>
    <x v="6"/>
    <x v="0"/>
    <s v="Blue"/>
    <x v="4"/>
    <x v="9"/>
    <n v="2"/>
    <n v="95000"/>
    <n v="96800"/>
    <n v="193600"/>
    <n v="190000"/>
    <n v="3600"/>
    <n v="1.859504132231405E-2"/>
    <x v="0"/>
    <x v="1"/>
    <s v="Average Performer"/>
  </r>
  <r>
    <d v="2026-10-06T00:00:00"/>
    <x v="1"/>
    <x v="1"/>
    <s v="Green"/>
    <x v="2"/>
    <x v="11"/>
    <n v="5"/>
    <n v="64000"/>
    <n v="70500"/>
    <n v="352500"/>
    <n v="320000"/>
    <n v="32500"/>
    <n v="9.2198581560283682E-2"/>
    <x v="0"/>
    <x v="1"/>
    <s v="Average Performer"/>
  </r>
  <r>
    <d v="2026-10-07T00:00:00"/>
    <x v="6"/>
    <x v="0"/>
    <s v="Brown"/>
    <x v="0"/>
    <x v="4"/>
    <n v="15"/>
    <n v="112000"/>
    <n v="113800"/>
    <n v="1707000"/>
    <n v="1680000"/>
    <n v="27000"/>
    <n v="1.5817223198594025E-2"/>
    <x v="1"/>
    <x v="0"/>
    <s v="Top Performer"/>
  </r>
  <r>
    <d v="2026-10-08T00:00:00"/>
    <x v="2"/>
    <x v="2"/>
    <s v="Green"/>
    <x v="4"/>
    <x v="11"/>
    <n v="2"/>
    <n v="43000"/>
    <n v="48000"/>
    <n v="96000"/>
    <n v="86000"/>
    <n v="10000"/>
    <n v="0.10416666666666667"/>
    <x v="0"/>
    <x v="1"/>
    <s v="Average Performer"/>
  </r>
  <r>
    <d v="2026-10-09T00:00:00"/>
    <x v="2"/>
    <x v="2"/>
    <s v="Green"/>
    <x v="0"/>
    <x v="6"/>
    <n v="10"/>
    <n v="51000"/>
    <n v="57000"/>
    <n v="570000"/>
    <n v="510000"/>
    <n v="60000"/>
    <n v="0.10526315789473684"/>
    <x v="0"/>
    <x v="1"/>
    <s v="Average Performer"/>
  </r>
  <r>
    <d v="2026-10-10T00:00:00"/>
    <x v="4"/>
    <x v="3"/>
    <s v="Brown"/>
    <x v="3"/>
    <x v="0"/>
    <n v="11"/>
    <n v="73000"/>
    <n v="76000"/>
    <n v="836000"/>
    <n v="803000"/>
    <n v="33000"/>
    <n v="3.9473684210526314E-2"/>
    <x v="1"/>
    <x v="1"/>
    <s v="Average Performer"/>
  </r>
  <r>
    <d v="2026-10-11T00:00:00"/>
    <x v="3"/>
    <x v="1"/>
    <s v="Black"/>
    <x v="2"/>
    <x v="9"/>
    <n v="10"/>
    <n v="72000"/>
    <n v="75000"/>
    <n v="750000"/>
    <n v="720000"/>
    <n v="30000"/>
    <n v="0.04"/>
    <x v="0"/>
    <x v="1"/>
    <s v="Average Performer"/>
  </r>
  <r>
    <d v="2026-10-12T00:00:00"/>
    <x v="5"/>
    <x v="0"/>
    <s v="Brown"/>
    <x v="0"/>
    <x v="9"/>
    <n v="6"/>
    <n v="102000"/>
    <n v="103800"/>
    <n v="622800"/>
    <n v="612000"/>
    <n v="10800"/>
    <n v="1.7341040462427744E-2"/>
    <x v="0"/>
    <x v="0"/>
    <s v="Average Performer"/>
  </r>
  <r>
    <d v="2026-10-13T00:00:00"/>
    <x v="0"/>
    <x v="0"/>
    <s v="Red"/>
    <x v="0"/>
    <x v="9"/>
    <n v="1"/>
    <n v="127000"/>
    <n v="128800"/>
    <n v="128800"/>
    <n v="127000"/>
    <n v="1800"/>
    <n v="1.3975155279503106E-2"/>
    <x v="0"/>
    <x v="0"/>
    <s v="Average Performer"/>
  </r>
  <r>
    <d v="2026-10-14T00:00:00"/>
    <x v="4"/>
    <x v="3"/>
    <s v="Green"/>
    <x v="3"/>
    <x v="8"/>
    <n v="5"/>
    <n v="66000"/>
    <n v="72500"/>
    <n v="362500"/>
    <n v="330000"/>
    <n v="32500"/>
    <n v="8.9655172413793102E-2"/>
    <x v="0"/>
    <x v="1"/>
    <s v="Average Performer"/>
  </r>
  <r>
    <d v="2026-10-15T00:00:00"/>
    <x v="0"/>
    <x v="0"/>
    <s v="Red"/>
    <x v="3"/>
    <x v="10"/>
    <n v="3"/>
    <n v="113000"/>
    <n v="114800"/>
    <n v="344400"/>
    <n v="339000"/>
    <n v="5400"/>
    <n v="1.5679442508710801E-2"/>
    <x v="0"/>
    <x v="0"/>
    <s v="Average Performer"/>
  </r>
  <r>
    <d v="2026-10-16T00:00:00"/>
    <x v="4"/>
    <x v="3"/>
    <s v="Red"/>
    <x v="3"/>
    <x v="10"/>
    <n v="12"/>
    <n v="61000"/>
    <n v="67500"/>
    <n v="810000"/>
    <n v="732000"/>
    <n v="78000"/>
    <n v="9.6296296296296297E-2"/>
    <x v="1"/>
    <x v="1"/>
    <s v="Average Performer"/>
  </r>
  <r>
    <d v="2026-10-17T00:00:00"/>
    <x v="3"/>
    <x v="1"/>
    <s v="Black"/>
    <x v="0"/>
    <x v="8"/>
    <n v="13"/>
    <n v="58000"/>
    <n v="64000"/>
    <n v="832000"/>
    <n v="754000"/>
    <n v="78000"/>
    <n v="9.375E-2"/>
    <x v="1"/>
    <x v="1"/>
    <s v="Average Performer"/>
  </r>
  <r>
    <d v="2026-10-18T00:00:00"/>
    <x v="7"/>
    <x v="0"/>
    <s v="Black"/>
    <x v="4"/>
    <x v="2"/>
    <n v="6"/>
    <n v="105000"/>
    <n v="106800"/>
    <n v="640800"/>
    <n v="630000"/>
    <n v="10800"/>
    <n v="1.6853932584269662E-2"/>
    <x v="0"/>
    <x v="0"/>
    <s v="Average Performer"/>
  </r>
  <r>
    <d v="2026-10-19T00:00:00"/>
    <x v="6"/>
    <x v="0"/>
    <s v="Red"/>
    <x v="0"/>
    <x v="2"/>
    <n v="2"/>
    <n v="92000"/>
    <n v="93800"/>
    <n v="187600"/>
    <n v="184000"/>
    <n v="3600"/>
    <n v="1.9189765458422176E-2"/>
    <x v="0"/>
    <x v="1"/>
    <s v="Average Performer"/>
  </r>
  <r>
    <d v="2026-10-20T00:00:00"/>
    <x v="2"/>
    <x v="2"/>
    <s v="Black"/>
    <x v="2"/>
    <x v="2"/>
    <n v="3"/>
    <n v="41000"/>
    <n v="46000"/>
    <n v="138000"/>
    <n v="123000"/>
    <n v="15000"/>
    <n v="0.10869565217391304"/>
    <x v="0"/>
    <x v="1"/>
    <s v="Average Performer"/>
  </r>
  <r>
    <d v="2026-10-21T00:00:00"/>
    <x v="0"/>
    <x v="0"/>
    <s v="Blue"/>
    <x v="3"/>
    <x v="8"/>
    <n v="1"/>
    <n v="121000"/>
    <n v="122800"/>
    <n v="122800"/>
    <n v="121000"/>
    <n v="1800"/>
    <n v="1.4657980456026058E-2"/>
    <x v="0"/>
    <x v="0"/>
    <s v="Average Performer"/>
  </r>
  <r>
    <d v="2026-10-22T00:00:00"/>
    <x v="6"/>
    <x v="0"/>
    <s v="Black"/>
    <x v="1"/>
    <x v="5"/>
    <n v="3"/>
    <n v="114000"/>
    <n v="115800"/>
    <n v="347400"/>
    <n v="342000"/>
    <n v="5400"/>
    <n v="1.5544041450777202E-2"/>
    <x v="0"/>
    <x v="0"/>
    <s v="Average Performer"/>
  </r>
  <r>
    <d v="2026-10-23T00:00:00"/>
    <x v="0"/>
    <x v="0"/>
    <s v="Blue"/>
    <x v="4"/>
    <x v="13"/>
    <n v="1"/>
    <n v="121000"/>
    <n v="122800"/>
    <n v="122800"/>
    <n v="121000"/>
    <n v="1800"/>
    <n v="1.4657980456026058E-2"/>
    <x v="0"/>
    <x v="0"/>
    <s v="Average Performer"/>
  </r>
  <r>
    <d v="2026-10-24T00:00:00"/>
    <x v="5"/>
    <x v="0"/>
    <s v="Blue"/>
    <x v="0"/>
    <x v="5"/>
    <n v="6"/>
    <n v="115000"/>
    <n v="116800"/>
    <n v="700800"/>
    <n v="690000"/>
    <n v="10800"/>
    <n v="1.5410958904109588E-2"/>
    <x v="0"/>
    <x v="0"/>
    <s v="Average Performer"/>
  </r>
  <r>
    <d v="2026-10-25T00:00:00"/>
    <x v="1"/>
    <x v="1"/>
    <s v="Blue"/>
    <x v="0"/>
    <x v="2"/>
    <n v="13"/>
    <n v="60000"/>
    <n v="66000"/>
    <n v="858000"/>
    <n v="780000"/>
    <n v="78000"/>
    <n v="9.0909090909090912E-2"/>
    <x v="1"/>
    <x v="1"/>
    <s v="Average Performer"/>
  </r>
  <r>
    <d v="2026-10-26T00:00:00"/>
    <x v="1"/>
    <x v="1"/>
    <s v="Blue"/>
    <x v="4"/>
    <x v="4"/>
    <n v="10"/>
    <n v="69000"/>
    <n v="75500"/>
    <n v="755000"/>
    <n v="690000"/>
    <n v="65000"/>
    <n v="8.6092715231788075E-2"/>
    <x v="0"/>
    <x v="1"/>
    <s v="Average Performer"/>
  </r>
  <r>
    <d v="2026-10-27T00:00:00"/>
    <x v="7"/>
    <x v="0"/>
    <s v="Brown"/>
    <x v="2"/>
    <x v="7"/>
    <n v="7"/>
    <n v="101000"/>
    <n v="102800"/>
    <n v="719600"/>
    <n v="707000"/>
    <n v="12600"/>
    <n v="1.7509727626459144E-2"/>
    <x v="0"/>
    <x v="0"/>
    <s v="Average Performer"/>
  </r>
  <r>
    <d v="2026-10-28T00:00:00"/>
    <x v="2"/>
    <x v="2"/>
    <s v="Green"/>
    <x v="0"/>
    <x v="0"/>
    <n v="13"/>
    <n v="41000"/>
    <n v="46000"/>
    <n v="598000"/>
    <n v="533000"/>
    <n v="65000"/>
    <n v="0.10869565217391304"/>
    <x v="1"/>
    <x v="1"/>
    <s v="Average Performer"/>
  </r>
  <r>
    <d v="2026-10-29T00:00:00"/>
    <x v="1"/>
    <x v="1"/>
    <s v="Green"/>
    <x v="2"/>
    <x v="7"/>
    <n v="6"/>
    <n v="61000"/>
    <n v="67500"/>
    <n v="405000"/>
    <n v="366000"/>
    <n v="39000"/>
    <n v="9.6296296296296297E-2"/>
    <x v="0"/>
    <x v="1"/>
    <s v="Average Performer"/>
  </r>
  <r>
    <d v="2026-10-30T00:00:00"/>
    <x v="3"/>
    <x v="1"/>
    <s v="Green"/>
    <x v="2"/>
    <x v="4"/>
    <n v="1"/>
    <n v="72000"/>
    <n v="75000"/>
    <n v="75000"/>
    <n v="72000"/>
    <n v="3000"/>
    <n v="0.04"/>
    <x v="0"/>
    <x v="1"/>
    <s v="Average Performer"/>
  </r>
  <r>
    <d v="2026-10-31T00:00:00"/>
    <x v="5"/>
    <x v="0"/>
    <s v="Red"/>
    <x v="3"/>
    <x v="12"/>
    <n v="8"/>
    <n v="123000"/>
    <n v="124800"/>
    <n v="998400"/>
    <n v="984000"/>
    <n v="14400"/>
    <n v="1.4423076923076924E-2"/>
    <x v="0"/>
    <x v="0"/>
    <s v="Average Performer"/>
  </r>
  <r>
    <d v="2026-11-01T00:00:00"/>
    <x v="5"/>
    <x v="0"/>
    <s v="Green"/>
    <x v="2"/>
    <x v="5"/>
    <n v="1"/>
    <n v="99000"/>
    <n v="100800"/>
    <n v="100800"/>
    <n v="99000"/>
    <n v="1800"/>
    <n v="1.7857142857142856E-2"/>
    <x v="0"/>
    <x v="0"/>
    <s v="Average Performer"/>
  </r>
  <r>
    <d v="2026-11-02T00:00:00"/>
    <x v="1"/>
    <x v="1"/>
    <s v="Black"/>
    <x v="1"/>
    <x v="10"/>
    <n v="14"/>
    <n v="65000"/>
    <n v="71500"/>
    <n v="1001000"/>
    <n v="910000"/>
    <n v="91000"/>
    <n v="9.0909090909090912E-2"/>
    <x v="1"/>
    <x v="1"/>
    <s v="Top Performer"/>
  </r>
  <r>
    <d v="2026-11-03T00:00:00"/>
    <x v="4"/>
    <x v="3"/>
    <s v="Red"/>
    <x v="1"/>
    <x v="3"/>
    <n v="4"/>
    <n v="63000"/>
    <n v="69500"/>
    <n v="278000"/>
    <n v="252000"/>
    <n v="26000"/>
    <n v="9.3525179856115109E-2"/>
    <x v="0"/>
    <x v="1"/>
    <s v="Average Performer"/>
  </r>
  <r>
    <d v="2026-11-04T00:00:00"/>
    <x v="4"/>
    <x v="3"/>
    <s v="Brown"/>
    <x v="1"/>
    <x v="12"/>
    <n v="14"/>
    <n v="55000"/>
    <n v="61000"/>
    <n v="854000"/>
    <n v="770000"/>
    <n v="84000"/>
    <n v="9.8360655737704916E-2"/>
    <x v="1"/>
    <x v="1"/>
    <s v="Average Performer"/>
  </r>
  <r>
    <d v="2026-11-05T00:00:00"/>
    <x v="2"/>
    <x v="2"/>
    <s v="Red"/>
    <x v="2"/>
    <x v="3"/>
    <n v="8"/>
    <n v="44000"/>
    <n v="49000"/>
    <n v="392000"/>
    <n v="352000"/>
    <n v="40000"/>
    <n v="0.10204081632653061"/>
    <x v="0"/>
    <x v="1"/>
    <s v="Average Performer"/>
  </r>
  <r>
    <d v="2026-11-06T00:00:00"/>
    <x v="1"/>
    <x v="1"/>
    <s v="Green"/>
    <x v="3"/>
    <x v="7"/>
    <n v="2"/>
    <n v="55000"/>
    <n v="61000"/>
    <n v="122000"/>
    <n v="110000"/>
    <n v="12000"/>
    <n v="9.8360655737704916E-2"/>
    <x v="0"/>
    <x v="1"/>
    <s v="Average Performer"/>
  </r>
  <r>
    <d v="2026-11-07T00:00:00"/>
    <x v="5"/>
    <x v="0"/>
    <s v="Brown"/>
    <x v="3"/>
    <x v="8"/>
    <n v="13"/>
    <n v="118000"/>
    <n v="119800"/>
    <n v="1557400"/>
    <n v="1534000"/>
    <n v="23400"/>
    <n v="1.5025041736227046E-2"/>
    <x v="1"/>
    <x v="0"/>
    <s v="Top Performer"/>
  </r>
  <r>
    <d v="2026-11-08T00:00:00"/>
    <x v="7"/>
    <x v="0"/>
    <s v="Red"/>
    <x v="0"/>
    <x v="4"/>
    <n v="8"/>
    <n v="118000"/>
    <n v="119800"/>
    <n v="958400"/>
    <n v="944000"/>
    <n v="14400"/>
    <n v="1.5025041736227046E-2"/>
    <x v="0"/>
    <x v="0"/>
    <s v="Average Performer"/>
  </r>
  <r>
    <d v="2026-11-09T00:00:00"/>
    <x v="5"/>
    <x v="0"/>
    <s v="Brown"/>
    <x v="3"/>
    <x v="6"/>
    <n v="1"/>
    <n v="96000"/>
    <n v="97800"/>
    <n v="97800"/>
    <n v="96000"/>
    <n v="1800"/>
    <n v="1.8404907975460124E-2"/>
    <x v="0"/>
    <x v="1"/>
    <s v="Average Performer"/>
  </r>
  <r>
    <d v="2026-11-10T00:00:00"/>
    <x v="2"/>
    <x v="2"/>
    <s v="Green"/>
    <x v="3"/>
    <x v="4"/>
    <n v="11"/>
    <n v="52000"/>
    <n v="58000"/>
    <n v="638000"/>
    <n v="572000"/>
    <n v="66000"/>
    <n v="0.10344827586206896"/>
    <x v="1"/>
    <x v="1"/>
    <s v="Average Performer"/>
  </r>
  <r>
    <d v="2026-11-11T00:00:00"/>
    <x v="3"/>
    <x v="1"/>
    <s v="Black"/>
    <x v="2"/>
    <x v="10"/>
    <n v="12"/>
    <n v="64000"/>
    <n v="70500"/>
    <n v="846000"/>
    <n v="768000"/>
    <n v="78000"/>
    <n v="9.2198581560283682E-2"/>
    <x v="1"/>
    <x v="1"/>
    <s v="Average Performer"/>
  </r>
  <r>
    <d v="2026-11-12T00:00:00"/>
    <x v="2"/>
    <x v="2"/>
    <s v="Green"/>
    <x v="2"/>
    <x v="7"/>
    <n v="7"/>
    <n v="49000"/>
    <n v="54000"/>
    <n v="378000"/>
    <n v="343000"/>
    <n v="35000"/>
    <n v="9.2592592592592587E-2"/>
    <x v="0"/>
    <x v="1"/>
    <s v="Average Performer"/>
  </r>
  <r>
    <d v="2026-11-13T00:00:00"/>
    <x v="6"/>
    <x v="0"/>
    <s v="Brown"/>
    <x v="1"/>
    <x v="0"/>
    <n v="4"/>
    <n v="86000"/>
    <n v="87800"/>
    <n v="351200"/>
    <n v="344000"/>
    <n v="7200"/>
    <n v="2.0501138952164009E-2"/>
    <x v="0"/>
    <x v="1"/>
    <s v="Average Performer"/>
  </r>
  <r>
    <d v="2026-11-14T00:00:00"/>
    <x v="7"/>
    <x v="0"/>
    <s v="Black"/>
    <x v="0"/>
    <x v="6"/>
    <n v="9"/>
    <n v="101000"/>
    <n v="102800"/>
    <n v="925200"/>
    <n v="909000"/>
    <n v="16200"/>
    <n v="1.7509727626459144E-2"/>
    <x v="0"/>
    <x v="0"/>
    <s v="Average Performer"/>
  </r>
  <r>
    <d v="2026-11-15T00:00:00"/>
    <x v="7"/>
    <x v="0"/>
    <s v="Black"/>
    <x v="2"/>
    <x v="3"/>
    <n v="8"/>
    <n v="119000"/>
    <n v="120800"/>
    <n v="966400"/>
    <n v="952000"/>
    <n v="14400"/>
    <n v="1.4900662251655629E-2"/>
    <x v="0"/>
    <x v="0"/>
    <s v="Average Performer"/>
  </r>
  <r>
    <d v="2026-11-16T00:00:00"/>
    <x v="1"/>
    <x v="1"/>
    <s v="Brown"/>
    <x v="3"/>
    <x v="13"/>
    <n v="5"/>
    <n v="60000"/>
    <n v="66000"/>
    <n v="330000"/>
    <n v="300000"/>
    <n v="30000"/>
    <n v="9.0909090909090912E-2"/>
    <x v="0"/>
    <x v="1"/>
    <s v="Average Performer"/>
  </r>
  <r>
    <d v="2026-11-17T00:00:00"/>
    <x v="2"/>
    <x v="2"/>
    <s v="Red"/>
    <x v="0"/>
    <x v="0"/>
    <n v="10"/>
    <n v="51000"/>
    <n v="57000"/>
    <n v="570000"/>
    <n v="510000"/>
    <n v="60000"/>
    <n v="0.10526315789473684"/>
    <x v="0"/>
    <x v="1"/>
    <s v="Average Performer"/>
  </r>
  <r>
    <d v="2026-11-18T00:00:00"/>
    <x v="3"/>
    <x v="1"/>
    <s v="Green"/>
    <x v="3"/>
    <x v="4"/>
    <n v="15"/>
    <n v="55000"/>
    <n v="61000"/>
    <n v="915000"/>
    <n v="825000"/>
    <n v="90000"/>
    <n v="9.8360655737704916E-2"/>
    <x v="1"/>
    <x v="1"/>
    <s v="Average Performer"/>
  </r>
  <r>
    <d v="2026-11-19T00:00:00"/>
    <x v="0"/>
    <x v="0"/>
    <s v="Green"/>
    <x v="2"/>
    <x v="2"/>
    <n v="4"/>
    <n v="138000"/>
    <n v="139800"/>
    <n v="559200"/>
    <n v="552000"/>
    <n v="7200"/>
    <n v="1.2875536480686695E-2"/>
    <x v="0"/>
    <x v="0"/>
    <s v="Average Performer"/>
  </r>
  <r>
    <d v="2026-11-20T00:00:00"/>
    <x v="7"/>
    <x v="0"/>
    <s v="Red"/>
    <x v="0"/>
    <x v="8"/>
    <n v="15"/>
    <n v="116000"/>
    <n v="117800"/>
    <n v="1767000"/>
    <n v="1740000"/>
    <n v="27000"/>
    <n v="1.5280135823429542E-2"/>
    <x v="1"/>
    <x v="0"/>
    <s v="Top Performer"/>
  </r>
  <r>
    <d v="2026-11-21T00:00:00"/>
    <x v="7"/>
    <x v="0"/>
    <s v="Red"/>
    <x v="4"/>
    <x v="6"/>
    <n v="6"/>
    <n v="104000"/>
    <n v="105800"/>
    <n v="634800"/>
    <n v="624000"/>
    <n v="10800"/>
    <n v="1.7013232514177693E-2"/>
    <x v="0"/>
    <x v="0"/>
    <s v="Average Performer"/>
  </r>
  <r>
    <d v="2026-11-22T00:00:00"/>
    <x v="2"/>
    <x v="2"/>
    <s v="Green"/>
    <x v="0"/>
    <x v="3"/>
    <n v="2"/>
    <n v="39000"/>
    <n v="44000"/>
    <n v="88000"/>
    <n v="78000"/>
    <n v="10000"/>
    <n v="0.11363636363636363"/>
    <x v="0"/>
    <x v="1"/>
    <s v="Average Performer"/>
  </r>
  <r>
    <d v="2026-11-23T00:00:00"/>
    <x v="7"/>
    <x v="0"/>
    <s v="Green"/>
    <x v="2"/>
    <x v="11"/>
    <n v="15"/>
    <n v="123000"/>
    <n v="124800"/>
    <n v="1872000"/>
    <n v="1845000"/>
    <n v="27000"/>
    <n v="1.4423076923076924E-2"/>
    <x v="1"/>
    <x v="0"/>
    <s v="Top Performer"/>
  </r>
  <r>
    <d v="2026-11-24T00:00:00"/>
    <x v="4"/>
    <x v="3"/>
    <s v="Black"/>
    <x v="2"/>
    <x v="3"/>
    <n v="8"/>
    <n v="55000"/>
    <n v="61000"/>
    <n v="488000"/>
    <n v="440000"/>
    <n v="48000"/>
    <n v="9.8360655737704916E-2"/>
    <x v="0"/>
    <x v="1"/>
    <s v="Average Performer"/>
  </r>
  <r>
    <d v="2026-11-25T00:00:00"/>
    <x v="1"/>
    <x v="1"/>
    <s v="Blue"/>
    <x v="4"/>
    <x v="11"/>
    <n v="15"/>
    <n v="61000"/>
    <n v="67500"/>
    <n v="1012500"/>
    <n v="915000"/>
    <n v="97500"/>
    <n v="9.6296296296296297E-2"/>
    <x v="1"/>
    <x v="1"/>
    <s v="Top Performer"/>
  </r>
  <r>
    <d v="2026-11-26T00:00:00"/>
    <x v="0"/>
    <x v="0"/>
    <s v="Brown"/>
    <x v="3"/>
    <x v="11"/>
    <n v="9"/>
    <n v="133000"/>
    <n v="134800"/>
    <n v="1213200"/>
    <n v="1197000"/>
    <n v="16200"/>
    <n v="1.3353115727002967E-2"/>
    <x v="0"/>
    <x v="0"/>
    <s v="Top Performer"/>
  </r>
  <r>
    <d v="2026-11-27T00:00:00"/>
    <x v="1"/>
    <x v="1"/>
    <s v="Blue"/>
    <x v="4"/>
    <x v="3"/>
    <n v="4"/>
    <n v="65000"/>
    <n v="71500"/>
    <n v="286000"/>
    <n v="260000"/>
    <n v="26000"/>
    <n v="9.0909090909090912E-2"/>
    <x v="0"/>
    <x v="1"/>
    <s v="Average Performer"/>
  </r>
  <r>
    <d v="2026-11-28T00:00:00"/>
    <x v="5"/>
    <x v="0"/>
    <s v="Red"/>
    <x v="2"/>
    <x v="13"/>
    <n v="10"/>
    <n v="90000"/>
    <n v="91800"/>
    <n v="918000"/>
    <n v="900000"/>
    <n v="18000"/>
    <n v="1.9607843137254902E-2"/>
    <x v="0"/>
    <x v="1"/>
    <s v="Average Performer"/>
  </r>
  <r>
    <d v="2026-11-29T00:00:00"/>
    <x v="4"/>
    <x v="3"/>
    <s v="Green"/>
    <x v="3"/>
    <x v="6"/>
    <n v="4"/>
    <n v="58000"/>
    <n v="64000"/>
    <n v="256000"/>
    <n v="232000"/>
    <n v="24000"/>
    <n v="9.375E-2"/>
    <x v="0"/>
    <x v="1"/>
    <s v="Average Performer"/>
  </r>
  <r>
    <d v="2026-11-30T00:00:00"/>
    <x v="3"/>
    <x v="1"/>
    <s v="Red"/>
    <x v="2"/>
    <x v="13"/>
    <n v="9"/>
    <n v="73000"/>
    <n v="76000"/>
    <n v="684000"/>
    <n v="657000"/>
    <n v="27000"/>
    <n v="3.9473684210526314E-2"/>
    <x v="0"/>
    <x v="1"/>
    <s v="Average Performer"/>
  </r>
  <r>
    <d v="2026-12-01T00:00:00"/>
    <x v="6"/>
    <x v="0"/>
    <s v="Black"/>
    <x v="2"/>
    <x v="1"/>
    <n v="12"/>
    <n v="114000"/>
    <n v="115800"/>
    <n v="1389600"/>
    <n v="1368000"/>
    <n v="21600"/>
    <n v="1.5544041450777202E-2"/>
    <x v="1"/>
    <x v="0"/>
    <s v="Top Performer"/>
  </r>
  <r>
    <d v="2026-12-02T00:00:00"/>
    <x v="6"/>
    <x v="0"/>
    <s v="Brown"/>
    <x v="0"/>
    <x v="10"/>
    <n v="6"/>
    <n v="117000"/>
    <n v="118800"/>
    <n v="712800"/>
    <n v="702000"/>
    <n v="10800"/>
    <n v="1.5151515151515152E-2"/>
    <x v="0"/>
    <x v="0"/>
    <s v="Average Performer"/>
  </r>
  <r>
    <d v="2026-12-03T00:00:00"/>
    <x v="0"/>
    <x v="0"/>
    <s v="Green"/>
    <x v="0"/>
    <x v="4"/>
    <n v="3"/>
    <n v="131000"/>
    <n v="132800"/>
    <n v="398400"/>
    <n v="393000"/>
    <n v="5400"/>
    <n v="1.355421686746988E-2"/>
    <x v="0"/>
    <x v="0"/>
    <s v="Average Performer"/>
  </r>
  <r>
    <d v="2026-12-04T00:00:00"/>
    <x v="6"/>
    <x v="0"/>
    <s v="Black"/>
    <x v="3"/>
    <x v="4"/>
    <n v="1"/>
    <n v="106000"/>
    <n v="107800"/>
    <n v="107800"/>
    <n v="106000"/>
    <n v="1800"/>
    <n v="1.6697588126159554E-2"/>
    <x v="0"/>
    <x v="0"/>
    <s v="Average Performer"/>
  </r>
  <r>
    <d v="2026-12-05T00:00:00"/>
    <x v="0"/>
    <x v="0"/>
    <s v="Brown"/>
    <x v="1"/>
    <x v="0"/>
    <n v="3"/>
    <n v="137000"/>
    <n v="138800"/>
    <n v="416400"/>
    <n v="411000"/>
    <n v="5400"/>
    <n v="1.2968299711815562E-2"/>
    <x v="0"/>
    <x v="0"/>
    <s v="Average Performer"/>
  </r>
  <r>
    <d v="2026-12-06T00:00:00"/>
    <x v="0"/>
    <x v="0"/>
    <s v="Brown"/>
    <x v="3"/>
    <x v="7"/>
    <n v="1"/>
    <n v="103000"/>
    <n v="104800"/>
    <n v="104800"/>
    <n v="103000"/>
    <n v="1800"/>
    <n v="1.717557251908397E-2"/>
    <x v="0"/>
    <x v="0"/>
    <s v="Average Performer"/>
  </r>
  <r>
    <d v="2026-12-07T00:00:00"/>
    <x v="0"/>
    <x v="0"/>
    <s v="Brown"/>
    <x v="2"/>
    <x v="11"/>
    <n v="6"/>
    <n v="129000"/>
    <n v="130800"/>
    <n v="784800"/>
    <n v="774000"/>
    <n v="10800"/>
    <n v="1.3761467889908258E-2"/>
    <x v="0"/>
    <x v="0"/>
    <s v="Average Performer"/>
  </r>
  <r>
    <d v="2026-12-08T00:00:00"/>
    <x v="2"/>
    <x v="2"/>
    <s v="Brown"/>
    <x v="0"/>
    <x v="13"/>
    <n v="1"/>
    <n v="52000"/>
    <n v="58000"/>
    <n v="58000"/>
    <n v="52000"/>
    <n v="6000"/>
    <n v="0.10344827586206896"/>
    <x v="0"/>
    <x v="1"/>
    <s v="Average Performer"/>
  </r>
  <r>
    <d v="2026-12-09T00:00:00"/>
    <x v="7"/>
    <x v="0"/>
    <s v="Blue"/>
    <x v="1"/>
    <x v="12"/>
    <n v="2"/>
    <n v="132000"/>
    <n v="133800"/>
    <n v="267600"/>
    <n v="264000"/>
    <n v="3600"/>
    <n v="1.3452914798206279E-2"/>
    <x v="0"/>
    <x v="0"/>
    <s v="Average Performer"/>
  </r>
  <r>
    <d v="2026-12-10T00:00:00"/>
    <x v="5"/>
    <x v="0"/>
    <s v="Black"/>
    <x v="3"/>
    <x v="6"/>
    <n v="13"/>
    <n v="124000"/>
    <n v="125800"/>
    <n v="1635400"/>
    <n v="1612000"/>
    <n v="23400"/>
    <n v="1.4308426073131956E-2"/>
    <x v="1"/>
    <x v="0"/>
    <s v="Top Performer"/>
  </r>
  <r>
    <d v="2026-12-11T00:00:00"/>
    <x v="6"/>
    <x v="0"/>
    <s v="Green"/>
    <x v="4"/>
    <x v="8"/>
    <n v="10"/>
    <n v="114000"/>
    <n v="115800"/>
    <n v="1158000"/>
    <n v="1140000"/>
    <n v="18000"/>
    <n v="1.5544041450777202E-2"/>
    <x v="0"/>
    <x v="0"/>
    <s v="Top Performer"/>
  </r>
  <r>
    <d v="2026-12-12T00:00:00"/>
    <x v="7"/>
    <x v="0"/>
    <s v="Black"/>
    <x v="3"/>
    <x v="9"/>
    <n v="15"/>
    <n v="127000"/>
    <n v="128800"/>
    <n v="1932000"/>
    <n v="1905000"/>
    <n v="27000"/>
    <n v="1.3975155279503106E-2"/>
    <x v="1"/>
    <x v="0"/>
    <s v="Top Performer"/>
  </r>
  <r>
    <d v="2026-12-13T00:00:00"/>
    <x v="4"/>
    <x v="3"/>
    <s v="Black"/>
    <x v="0"/>
    <x v="0"/>
    <n v="4"/>
    <n v="58000"/>
    <n v="64000"/>
    <n v="256000"/>
    <n v="232000"/>
    <n v="24000"/>
    <n v="9.375E-2"/>
    <x v="0"/>
    <x v="1"/>
    <s v="Average Performer"/>
  </r>
  <r>
    <d v="2026-12-14T00:00:00"/>
    <x v="3"/>
    <x v="1"/>
    <s v="Red"/>
    <x v="3"/>
    <x v="8"/>
    <n v="14"/>
    <n v="58000"/>
    <n v="64000"/>
    <n v="896000"/>
    <n v="812000"/>
    <n v="84000"/>
    <n v="9.375E-2"/>
    <x v="1"/>
    <x v="1"/>
    <s v="Average Performer"/>
  </r>
  <r>
    <d v="2026-12-15T00:00:00"/>
    <x v="0"/>
    <x v="0"/>
    <s v="Red"/>
    <x v="4"/>
    <x v="5"/>
    <n v="6"/>
    <n v="135000"/>
    <n v="136800"/>
    <n v="820800"/>
    <n v="810000"/>
    <n v="10800"/>
    <n v="1.3157894736842105E-2"/>
    <x v="0"/>
    <x v="0"/>
    <s v="Average Performer"/>
  </r>
  <r>
    <d v="2026-12-16T00:00:00"/>
    <x v="0"/>
    <x v="0"/>
    <s v="Green"/>
    <x v="3"/>
    <x v="8"/>
    <n v="8"/>
    <n v="119000"/>
    <n v="120800"/>
    <n v="966400"/>
    <n v="952000"/>
    <n v="14400"/>
    <n v="1.4900662251655629E-2"/>
    <x v="0"/>
    <x v="0"/>
    <s v="Average Performer"/>
  </r>
  <r>
    <d v="2026-12-17T00:00:00"/>
    <x v="2"/>
    <x v="2"/>
    <s v="Blue"/>
    <x v="0"/>
    <x v="0"/>
    <n v="11"/>
    <n v="54000"/>
    <n v="60000"/>
    <n v="660000"/>
    <n v="594000"/>
    <n v="66000"/>
    <n v="0.1"/>
    <x v="1"/>
    <x v="1"/>
    <s v="Average Performer"/>
  </r>
  <r>
    <d v="2026-12-18T00:00:00"/>
    <x v="6"/>
    <x v="0"/>
    <s v="Green"/>
    <x v="2"/>
    <x v="2"/>
    <n v="8"/>
    <n v="96000"/>
    <n v="97800"/>
    <n v="782400"/>
    <n v="768000"/>
    <n v="14400"/>
    <n v="1.8404907975460124E-2"/>
    <x v="0"/>
    <x v="1"/>
    <s v="Average Performer"/>
  </r>
  <r>
    <d v="2026-12-19T00:00:00"/>
    <x v="5"/>
    <x v="0"/>
    <s v="Brown"/>
    <x v="2"/>
    <x v="3"/>
    <n v="7"/>
    <n v="122000"/>
    <n v="123800"/>
    <n v="866600"/>
    <n v="854000"/>
    <n v="12600"/>
    <n v="1.4539579967689823E-2"/>
    <x v="0"/>
    <x v="0"/>
    <s v="Average Performer"/>
  </r>
  <r>
    <d v="2026-12-20T00:00:00"/>
    <x v="4"/>
    <x v="3"/>
    <s v="Green"/>
    <x v="2"/>
    <x v="2"/>
    <n v="2"/>
    <n v="59000"/>
    <n v="65000"/>
    <n v="130000"/>
    <n v="118000"/>
    <n v="12000"/>
    <n v="9.2307692307692313E-2"/>
    <x v="0"/>
    <x v="1"/>
    <s v="Average Performer"/>
  </r>
  <r>
    <d v="2026-12-21T00:00:00"/>
    <x v="5"/>
    <x v="0"/>
    <s v="Blue"/>
    <x v="3"/>
    <x v="11"/>
    <n v="1"/>
    <n v="112000"/>
    <n v="113800"/>
    <n v="113800"/>
    <n v="112000"/>
    <n v="1800"/>
    <n v="1.5817223198594025E-2"/>
    <x v="0"/>
    <x v="0"/>
    <s v="Average Performer"/>
  </r>
  <r>
    <d v="2026-12-22T00:00:00"/>
    <x v="4"/>
    <x v="3"/>
    <s v="Blue"/>
    <x v="0"/>
    <x v="13"/>
    <n v="8"/>
    <n v="70000"/>
    <n v="76500"/>
    <n v="612000"/>
    <n v="560000"/>
    <n v="52000"/>
    <n v="8.4967320261437912E-2"/>
    <x v="0"/>
    <x v="1"/>
    <s v="Average Performer"/>
  </r>
  <r>
    <d v="2026-12-23T00:00:00"/>
    <x v="1"/>
    <x v="1"/>
    <s v="Green"/>
    <x v="3"/>
    <x v="1"/>
    <n v="12"/>
    <n v="66000"/>
    <n v="72500"/>
    <n v="870000"/>
    <n v="792000"/>
    <n v="78000"/>
    <n v="8.9655172413793102E-2"/>
    <x v="1"/>
    <x v="1"/>
    <s v="Average Performer"/>
  </r>
  <r>
    <d v="2026-12-24T00:00:00"/>
    <x v="7"/>
    <x v="0"/>
    <s v="Red"/>
    <x v="4"/>
    <x v="0"/>
    <n v="13"/>
    <n v="129000"/>
    <n v="130800"/>
    <n v="1700400"/>
    <n v="1677000"/>
    <n v="23400"/>
    <n v="1.3761467889908258E-2"/>
    <x v="1"/>
    <x v="0"/>
    <s v="Top Performer"/>
  </r>
  <r>
    <d v="2026-12-25T00:00:00"/>
    <x v="6"/>
    <x v="0"/>
    <s v="Green"/>
    <x v="1"/>
    <x v="0"/>
    <n v="9"/>
    <n v="110000"/>
    <n v="111800"/>
    <n v="1006200"/>
    <n v="990000"/>
    <n v="16200"/>
    <n v="1.6100178890876567E-2"/>
    <x v="0"/>
    <x v="0"/>
    <s v="Top Performer"/>
  </r>
  <r>
    <d v="2026-12-26T00:00:00"/>
    <x v="0"/>
    <x v="0"/>
    <s v="Red"/>
    <x v="2"/>
    <x v="6"/>
    <n v="5"/>
    <n v="112000"/>
    <n v="113800"/>
    <n v="569000"/>
    <n v="560000"/>
    <n v="9000"/>
    <n v="1.5817223198594025E-2"/>
    <x v="0"/>
    <x v="0"/>
    <s v="Average Performer"/>
  </r>
  <r>
    <d v="2026-12-27T00:00:00"/>
    <x v="1"/>
    <x v="1"/>
    <s v="Brown"/>
    <x v="1"/>
    <x v="3"/>
    <n v="10"/>
    <n v="59000"/>
    <n v="65000"/>
    <n v="650000"/>
    <n v="590000"/>
    <n v="60000"/>
    <n v="9.2307692307692313E-2"/>
    <x v="0"/>
    <x v="1"/>
    <s v="Average Performer"/>
  </r>
  <r>
    <d v="2026-12-28T00:00:00"/>
    <x v="3"/>
    <x v="1"/>
    <s v="Black"/>
    <x v="4"/>
    <x v="5"/>
    <n v="14"/>
    <n v="68000"/>
    <n v="74500"/>
    <n v="1043000"/>
    <n v="952000"/>
    <n v="91000"/>
    <n v="8.7248322147651006E-2"/>
    <x v="1"/>
    <x v="1"/>
    <s v="Top Performer"/>
  </r>
  <r>
    <d v="2026-12-29T00:00:00"/>
    <x v="2"/>
    <x v="2"/>
    <s v="Brown"/>
    <x v="4"/>
    <x v="0"/>
    <n v="13"/>
    <n v="48000"/>
    <n v="53000"/>
    <n v="689000"/>
    <n v="624000"/>
    <n v="65000"/>
    <n v="9.4339622641509441E-2"/>
    <x v="1"/>
    <x v="1"/>
    <s v="Average Performer"/>
  </r>
  <r>
    <d v="2026-12-30T00:00:00"/>
    <x v="3"/>
    <x v="1"/>
    <s v="Brown"/>
    <x v="3"/>
    <x v="10"/>
    <n v="12"/>
    <n v="69000"/>
    <n v="75500"/>
    <n v="906000"/>
    <n v="828000"/>
    <n v="78000"/>
    <n v="8.6092715231788075E-2"/>
    <x v="1"/>
    <x v="1"/>
    <s v="Average Performer"/>
  </r>
  <r>
    <d v="2026-12-31T00:00:00"/>
    <x v="5"/>
    <x v="0"/>
    <s v="Brown"/>
    <x v="3"/>
    <x v="7"/>
    <n v="7"/>
    <n v="94000"/>
    <n v="95800"/>
    <n v="670600"/>
    <n v="658000"/>
    <n v="12600"/>
    <n v="1.8789144050104383E-2"/>
    <x v="0"/>
    <x v="1"/>
    <s v="Average Performer"/>
  </r>
  <r>
    <d v="2027-01-01T00:00:00"/>
    <x v="5"/>
    <x v="0"/>
    <s v="Black"/>
    <x v="0"/>
    <x v="2"/>
    <n v="8"/>
    <n v="95000"/>
    <n v="96800"/>
    <n v="774400"/>
    <n v="760000"/>
    <n v="14400"/>
    <n v="1.859504132231405E-2"/>
    <x v="0"/>
    <x v="1"/>
    <s v="Average Performer"/>
  </r>
  <r>
    <d v="2027-01-02T00:00:00"/>
    <x v="0"/>
    <x v="0"/>
    <s v="Black"/>
    <x v="3"/>
    <x v="0"/>
    <n v="6"/>
    <n v="137000"/>
    <n v="138800"/>
    <n v="832800"/>
    <n v="822000"/>
    <n v="10800"/>
    <n v="1.2968299711815562E-2"/>
    <x v="0"/>
    <x v="0"/>
    <s v="Average Performer"/>
  </r>
  <r>
    <d v="2027-01-03T00:00:00"/>
    <x v="2"/>
    <x v="2"/>
    <s v="Black"/>
    <x v="1"/>
    <x v="0"/>
    <n v="10"/>
    <n v="43000"/>
    <n v="48000"/>
    <n v="480000"/>
    <n v="430000"/>
    <n v="50000"/>
    <n v="0.10416666666666667"/>
    <x v="0"/>
    <x v="1"/>
    <s v="Average Performer"/>
  </r>
  <r>
    <d v="2027-01-04T00:00:00"/>
    <x v="0"/>
    <x v="0"/>
    <s v="Blue"/>
    <x v="1"/>
    <x v="0"/>
    <n v="3"/>
    <n v="115000"/>
    <n v="116800"/>
    <n v="350400"/>
    <n v="345000"/>
    <n v="5400"/>
    <n v="1.5410958904109588E-2"/>
    <x v="0"/>
    <x v="0"/>
    <s v="Average Performer"/>
  </r>
  <r>
    <d v="2027-01-05T00:00:00"/>
    <x v="0"/>
    <x v="0"/>
    <s v="Black"/>
    <x v="3"/>
    <x v="1"/>
    <n v="9"/>
    <n v="137000"/>
    <n v="138800"/>
    <n v="1249200"/>
    <n v="1233000"/>
    <n v="16200"/>
    <n v="1.2968299711815562E-2"/>
    <x v="0"/>
    <x v="0"/>
    <s v="Top Performer"/>
  </r>
  <r>
    <d v="2027-01-06T00:00:00"/>
    <x v="7"/>
    <x v="0"/>
    <s v="Blue"/>
    <x v="3"/>
    <x v="12"/>
    <n v="10"/>
    <n v="136000"/>
    <n v="137800"/>
    <n v="1378000"/>
    <n v="1360000"/>
    <n v="18000"/>
    <n v="1.3062409288824383E-2"/>
    <x v="0"/>
    <x v="0"/>
    <s v="Top Performer"/>
  </r>
  <r>
    <d v="2027-01-07T00:00:00"/>
    <x v="6"/>
    <x v="0"/>
    <s v="Black"/>
    <x v="0"/>
    <x v="4"/>
    <n v="11"/>
    <n v="116000"/>
    <n v="117800"/>
    <n v="1295800"/>
    <n v="1276000"/>
    <n v="19800"/>
    <n v="1.5280135823429542E-2"/>
    <x v="1"/>
    <x v="0"/>
    <s v="Top Performer"/>
  </r>
  <r>
    <d v="2027-01-08T00:00:00"/>
    <x v="4"/>
    <x v="3"/>
    <s v="Blue"/>
    <x v="0"/>
    <x v="13"/>
    <n v="8"/>
    <n v="74000"/>
    <n v="77000"/>
    <n v="616000"/>
    <n v="592000"/>
    <n v="24000"/>
    <n v="3.896103896103896E-2"/>
    <x v="0"/>
    <x v="1"/>
    <s v="Average Performer"/>
  </r>
  <r>
    <d v="2027-01-09T00:00:00"/>
    <x v="2"/>
    <x v="2"/>
    <s v="Brown"/>
    <x v="2"/>
    <x v="4"/>
    <n v="7"/>
    <n v="46000"/>
    <n v="51000"/>
    <n v="357000"/>
    <n v="322000"/>
    <n v="35000"/>
    <n v="9.8039215686274508E-2"/>
    <x v="0"/>
    <x v="1"/>
    <s v="Average Performer"/>
  </r>
  <r>
    <d v="2027-01-10T00:00:00"/>
    <x v="7"/>
    <x v="0"/>
    <s v="Green"/>
    <x v="0"/>
    <x v="3"/>
    <n v="8"/>
    <n v="99000"/>
    <n v="100800"/>
    <n v="806400"/>
    <n v="792000"/>
    <n v="14400"/>
    <n v="1.7857142857142856E-2"/>
    <x v="0"/>
    <x v="0"/>
    <s v="Average Performer"/>
  </r>
  <r>
    <d v="2027-01-11T00:00:00"/>
    <x v="5"/>
    <x v="0"/>
    <s v="Blue"/>
    <x v="0"/>
    <x v="7"/>
    <n v="2"/>
    <n v="119000"/>
    <n v="120800"/>
    <n v="241600"/>
    <n v="238000"/>
    <n v="3600"/>
    <n v="1.4900662251655629E-2"/>
    <x v="0"/>
    <x v="0"/>
    <s v="Average Performer"/>
  </r>
  <r>
    <d v="2027-01-12T00:00:00"/>
    <x v="1"/>
    <x v="1"/>
    <s v="Green"/>
    <x v="2"/>
    <x v="4"/>
    <n v="1"/>
    <n v="50000"/>
    <n v="55000"/>
    <n v="55000"/>
    <n v="50000"/>
    <n v="5000"/>
    <n v="9.0909090909090912E-2"/>
    <x v="0"/>
    <x v="1"/>
    <s v="Average Performer"/>
  </r>
  <r>
    <d v="2027-01-13T00:00:00"/>
    <x v="2"/>
    <x v="2"/>
    <s v="Green"/>
    <x v="1"/>
    <x v="8"/>
    <n v="2"/>
    <n v="43000"/>
    <n v="48000"/>
    <n v="96000"/>
    <n v="86000"/>
    <n v="10000"/>
    <n v="0.10416666666666667"/>
    <x v="0"/>
    <x v="1"/>
    <s v="Average Performer"/>
  </r>
  <r>
    <d v="2027-01-14T00:00:00"/>
    <x v="6"/>
    <x v="0"/>
    <s v="Blue"/>
    <x v="3"/>
    <x v="2"/>
    <n v="7"/>
    <n v="103000"/>
    <n v="104800"/>
    <n v="733600"/>
    <n v="721000"/>
    <n v="12600"/>
    <n v="1.717557251908397E-2"/>
    <x v="0"/>
    <x v="0"/>
    <s v="Average Performer"/>
  </r>
  <r>
    <d v="2027-01-15T00:00:00"/>
    <x v="5"/>
    <x v="0"/>
    <s v="Blue"/>
    <x v="0"/>
    <x v="4"/>
    <n v="11"/>
    <n v="106000"/>
    <n v="107800"/>
    <n v="1185800"/>
    <n v="1166000"/>
    <n v="19800"/>
    <n v="1.6697588126159554E-2"/>
    <x v="1"/>
    <x v="0"/>
    <s v="Top Performer"/>
  </r>
  <r>
    <d v="2027-01-16T00:00:00"/>
    <x v="0"/>
    <x v="0"/>
    <s v="Green"/>
    <x v="1"/>
    <x v="7"/>
    <n v="7"/>
    <n v="112000"/>
    <n v="113800"/>
    <n v="796600"/>
    <n v="784000"/>
    <n v="12600"/>
    <n v="1.5817223198594025E-2"/>
    <x v="0"/>
    <x v="0"/>
    <s v="Average Performer"/>
  </r>
  <r>
    <d v="2027-01-17T00:00:00"/>
    <x v="2"/>
    <x v="2"/>
    <s v="Brown"/>
    <x v="2"/>
    <x v="2"/>
    <n v="11"/>
    <n v="50000"/>
    <n v="55000"/>
    <n v="605000"/>
    <n v="550000"/>
    <n v="55000"/>
    <n v="9.0909090909090912E-2"/>
    <x v="1"/>
    <x v="1"/>
    <s v="Average Performer"/>
  </r>
  <r>
    <d v="2027-01-18T00:00:00"/>
    <x v="6"/>
    <x v="0"/>
    <s v="Green"/>
    <x v="4"/>
    <x v="4"/>
    <n v="5"/>
    <n v="116000"/>
    <n v="117800"/>
    <n v="589000"/>
    <n v="580000"/>
    <n v="9000"/>
    <n v="1.5280135823429542E-2"/>
    <x v="0"/>
    <x v="0"/>
    <s v="Average Performer"/>
  </r>
  <r>
    <d v="2027-01-19T00:00:00"/>
    <x v="2"/>
    <x v="2"/>
    <s v="Brown"/>
    <x v="0"/>
    <x v="11"/>
    <n v="9"/>
    <n v="53000"/>
    <n v="59000"/>
    <n v="531000"/>
    <n v="477000"/>
    <n v="54000"/>
    <n v="0.10169491525423729"/>
    <x v="0"/>
    <x v="1"/>
    <s v="Average Performer"/>
  </r>
  <r>
    <d v="2027-01-20T00:00:00"/>
    <x v="7"/>
    <x v="0"/>
    <s v="Black"/>
    <x v="4"/>
    <x v="3"/>
    <n v="2"/>
    <n v="113000"/>
    <n v="114800"/>
    <n v="229600"/>
    <n v="226000"/>
    <n v="3600"/>
    <n v="1.5679442508710801E-2"/>
    <x v="0"/>
    <x v="0"/>
    <s v="Average Performer"/>
  </r>
  <r>
    <d v="2027-01-21T00:00:00"/>
    <x v="6"/>
    <x v="0"/>
    <s v="Red"/>
    <x v="4"/>
    <x v="9"/>
    <n v="13"/>
    <n v="110000"/>
    <n v="111800"/>
    <n v="1453400"/>
    <n v="1430000"/>
    <n v="23400"/>
    <n v="1.6100178890876567E-2"/>
    <x v="1"/>
    <x v="0"/>
    <s v="Top Performer"/>
  </r>
  <r>
    <d v="2027-01-22T00:00:00"/>
    <x v="2"/>
    <x v="2"/>
    <s v="Green"/>
    <x v="1"/>
    <x v="9"/>
    <n v="5"/>
    <n v="39000"/>
    <n v="44000"/>
    <n v="220000"/>
    <n v="195000"/>
    <n v="25000"/>
    <n v="0.11363636363636363"/>
    <x v="0"/>
    <x v="1"/>
    <s v="Average Performer"/>
  </r>
  <r>
    <d v="2027-01-23T00:00:00"/>
    <x v="7"/>
    <x v="0"/>
    <s v="Brown"/>
    <x v="4"/>
    <x v="3"/>
    <n v="4"/>
    <n v="109000"/>
    <n v="110800"/>
    <n v="443200"/>
    <n v="436000"/>
    <n v="7200"/>
    <n v="1.6245487364620937E-2"/>
    <x v="0"/>
    <x v="0"/>
    <s v="Average Performer"/>
  </r>
  <r>
    <d v="2027-01-24T00:00:00"/>
    <x v="0"/>
    <x v="0"/>
    <s v="Red"/>
    <x v="2"/>
    <x v="1"/>
    <n v="6"/>
    <n v="100000"/>
    <n v="101800"/>
    <n v="610800"/>
    <n v="600000"/>
    <n v="10800"/>
    <n v="1.768172888015717E-2"/>
    <x v="0"/>
    <x v="0"/>
    <s v="Average Performer"/>
  </r>
  <r>
    <d v="2027-01-25T00:00:00"/>
    <x v="6"/>
    <x v="0"/>
    <s v="Black"/>
    <x v="0"/>
    <x v="4"/>
    <n v="7"/>
    <n v="84000"/>
    <n v="85800"/>
    <n v="600600"/>
    <n v="588000"/>
    <n v="12600"/>
    <n v="2.097902097902098E-2"/>
    <x v="0"/>
    <x v="1"/>
    <s v="Average Performer"/>
  </r>
  <r>
    <d v="2027-01-26T00:00:00"/>
    <x v="5"/>
    <x v="0"/>
    <s v="Brown"/>
    <x v="4"/>
    <x v="6"/>
    <n v="5"/>
    <n v="123000"/>
    <n v="124800"/>
    <n v="624000"/>
    <n v="615000"/>
    <n v="9000"/>
    <n v="1.4423076923076924E-2"/>
    <x v="0"/>
    <x v="0"/>
    <s v="Average Performer"/>
  </r>
  <r>
    <d v="2027-01-27T00:00:00"/>
    <x v="6"/>
    <x v="0"/>
    <s v="Black"/>
    <x v="2"/>
    <x v="11"/>
    <n v="2"/>
    <n v="100000"/>
    <n v="101800"/>
    <n v="203600"/>
    <n v="200000"/>
    <n v="3600"/>
    <n v="1.768172888015717E-2"/>
    <x v="0"/>
    <x v="0"/>
    <s v="Average Performer"/>
  </r>
  <r>
    <d v="2027-01-28T00:00:00"/>
    <x v="2"/>
    <x v="2"/>
    <s v="Red"/>
    <x v="3"/>
    <x v="0"/>
    <n v="10"/>
    <n v="51000"/>
    <n v="57000"/>
    <n v="570000"/>
    <n v="510000"/>
    <n v="60000"/>
    <n v="0.10526315789473684"/>
    <x v="0"/>
    <x v="1"/>
    <s v="Average Performer"/>
  </r>
  <r>
    <d v="2027-01-29T00:00:00"/>
    <x v="3"/>
    <x v="1"/>
    <s v="Green"/>
    <x v="3"/>
    <x v="5"/>
    <n v="1"/>
    <n v="59000"/>
    <n v="65000"/>
    <n v="65000"/>
    <n v="59000"/>
    <n v="6000"/>
    <n v="9.2307692307692313E-2"/>
    <x v="0"/>
    <x v="1"/>
    <s v="Average Performer"/>
  </r>
  <r>
    <d v="2027-01-30T00:00:00"/>
    <x v="5"/>
    <x v="0"/>
    <s v="Brown"/>
    <x v="4"/>
    <x v="6"/>
    <n v="1"/>
    <n v="113000"/>
    <n v="114800"/>
    <n v="114800"/>
    <n v="113000"/>
    <n v="1800"/>
    <n v="1.5679442508710801E-2"/>
    <x v="0"/>
    <x v="0"/>
    <s v="Average Performer"/>
  </r>
  <r>
    <d v="2027-01-31T00:00:00"/>
    <x v="5"/>
    <x v="0"/>
    <s v="Red"/>
    <x v="0"/>
    <x v="6"/>
    <n v="14"/>
    <n v="99000"/>
    <n v="100800"/>
    <n v="1411200"/>
    <n v="1386000"/>
    <n v="25200"/>
    <n v="1.7857142857142856E-2"/>
    <x v="1"/>
    <x v="0"/>
    <s v="Top Performer"/>
  </r>
  <r>
    <d v="2027-02-01T00:00:00"/>
    <x v="3"/>
    <x v="1"/>
    <s v="Red"/>
    <x v="0"/>
    <x v="7"/>
    <n v="13"/>
    <n v="59000"/>
    <n v="65000"/>
    <n v="845000"/>
    <n v="767000"/>
    <n v="78000"/>
    <n v="9.2307692307692313E-2"/>
    <x v="1"/>
    <x v="1"/>
    <s v="Average Performer"/>
  </r>
  <r>
    <d v="2027-02-02T00:00:00"/>
    <x v="0"/>
    <x v="0"/>
    <s v="Black"/>
    <x v="0"/>
    <x v="7"/>
    <n v="15"/>
    <n v="101000"/>
    <n v="102800"/>
    <n v="1542000"/>
    <n v="1515000"/>
    <n v="27000"/>
    <n v="1.7509727626459144E-2"/>
    <x v="1"/>
    <x v="0"/>
    <s v="Top Performer"/>
  </r>
  <r>
    <d v="2027-02-03T00:00:00"/>
    <x v="4"/>
    <x v="3"/>
    <s v="Red"/>
    <x v="3"/>
    <x v="10"/>
    <n v="14"/>
    <n v="60000"/>
    <n v="66000"/>
    <n v="924000"/>
    <n v="840000"/>
    <n v="84000"/>
    <n v="9.0909090909090912E-2"/>
    <x v="1"/>
    <x v="1"/>
    <s v="Average Performer"/>
  </r>
  <r>
    <d v="2027-02-04T00:00:00"/>
    <x v="5"/>
    <x v="0"/>
    <s v="Blue"/>
    <x v="0"/>
    <x v="6"/>
    <n v="10"/>
    <n v="115000"/>
    <n v="116800"/>
    <n v="1168000"/>
    <n v="1150000"/>
    <n v="18000"/>
    <n v="1.5410958904109588E-2"/>
    <x v="0"/>
    <x v="0"/>
    <s v="Top Performer"/>
  </r>
  <r>
    <d v="2027-02-05T00:00:00"/>
    <x v="7"/>
    <x v="0"/>
    <s v="Blue"/>
    <x v="3"/>
    <x v="10"/>
    <n v="7"/>
    <n v="101000"/>
    <n v="102800"/>
    <n v="719600"/>
    <n v="707000"/>
    <n v="12600"/>
    <n v="1.7509727626459144E-2"/>
    <x v="0"/>
    <x v="0"/>
    <s v="Average Performer"/>
  </r>
  <r>
    <d v="2027-02-06T00:00:00"/>
    <x v="3"/>
    <x v="1"/>
    <s v="Brown"/>
    <x v="0"/>
    <x v="1"/>
    <n v="13"/>
    <n v="53000"/>
    <n v="59000"/>
    <n v="767000"/>
    <n v="689000"/>
    <n v="78000"/>
    <n v="0.10169491525423729"/>
    <x v="1"/>
    <x v="1"/>
    <s v="Average Performer"/>
  </r>
  <r>
    <d v="2027-02-07T00:00:00"/>
    <x v="1"/>
    <x v="1"/>
    <s v="Green"/>
    <x v="2"/>
    <x v="4"/>
    <n v="11"/>
    <n v="53000"/>
    <n v="59000"/>
    <n v="649000"/>
    <n v="583000"/>
    <n v="66000"/>
    <n v="0.10169491525423729"/>
    <x v="1"/>
    <x v="1"/>
    <s v="Average Performer"/>
  </r>
  <r>
    <d v="2027-02-08T00:00:00"/>
    <x v="7"/>
    <x v="0"/>
    <s v="Green"/>
    <x v="0"/>
    <x v="1"/>
    <n v="4"/>
    <n v="122000"/>
    <n v="123800"/>
    <n v="495200"/>
    <n v="488000"/>
    <n v="7200"/>
    <n v="1.4539579967689823E-2"/>
    <x v="0"/>
    <x v="0"/>
    <s v="Average Performer"/>
  </r>
  <r>
    <d v="2027-02-09T00:00:00"/>
    <x v="0"/>
    <x v="0"/>
    <s v="Blue"/>
    <x v="4"/>
    <x v="9"/>
    <n v="8"/>
    <n v="108000"/>
    <n v="109800"/>
    <n v="878400"/>
    <n v="864000"/>
    <n v="14400"/>
    <n v="1.6393442622950821E-2"/>
    <x v="0"/>
    <x v="0"/>
    <s v="Average Performer"/>
  </r>
  <r>
    <d v="2027-02-10T00:00:00"/>
    <x v="0"/>
    <x v="0"/>
    <s v="Green"/>
    <x v="2"/>
    <x v="0"/>
    <n v="8"/>
    <n v="125000"/>
    <n v="126800"/>
    <n v="1014400"/>
    <n v="1000000"/>
    <n v="14400"/>
    <n v="1.4195583596214511E-2"/>
    <x v="0"/>
    <x v="0"/>
    <s v="Top Performer"/>
  </r>
  <r>
    <d v="2027-02-11T00:00:00"/>
    <x v="2"/>
    <x v="2"/>
    <s v="Red"/>
    <x v="3"/>
    <x v="2"/>
    <n v="7"/>
    <n v="45000"/>
    <n v="50000"/>
    <n v="350000"/>
    <n v="315000"/>
    <n v="35000"/>
    <n v="0.1"/>
    <x v="0"/>
    <x v="1"/>
    <s v="Average Performer"/>
  </r>
  <r>
    <d v="2027-02-12T00:00:00"/>
    <x v="2"/>
    <x v="2"/>
    <s v="Green"/>
    <x v="0"/>
    <x v="3"/>
    <n v="4"/>
    <n v="48000"/>
    <n v="53000"/>
    <n v="212000"/>
    <n v="192000"/>
    <n v="20000"/>
    <n v="9.4339622641509441E-2"/>
    <x v="0"/>
    <x v="1"/>
    <s v="Average Performer"/>
  </r>
  <r>
    <d v="2027-02-13T00:00:00"/>
    <x v="2"/>
    <x v="2"/>
    <s v="Blue"/>
    <x v="0"/>
    <x v="4"/>
    <n v="6"/>
    <n v="46000"/>
    <n v="51000"/>
    <n v="306000"/>
    <n v="276000"/>
    <n v="30000"/>
    <n v="9.8039215686274508E-2"/>
    <x v="0"/>
    <x v="1"/>
    <s v="Average Performer"/>
  </r>
  <r>
    <d v="2027-02-14T00:00:00"/>
    <x v="6"/>
    <x v="0"/>
    <s v="Blue"/>
    <x v="3"/>
    <x v="6"/>
    <n v="5"/>
    <n v="95000"/>
    <n v="96800"/>
    <n v="484000"/>
    <n v="475000"/>
    <n v="9000"/>
    <n v="1.859504132231405E-2"/>
    <x v="0"/>
    <x v="1"/>
    <s v="Average Performer"/>
  </r>
  <r>
    <d v="2027-02-15T00:00:00"/>
    <x v="5"/>
    <x v="0"/>
    <s v="Blue"/>
    <x v="3"/>
    <x v="13"/>
    <n v="3"/>
    <n v="120000"/>
    <n v="121800"/>
    <n v="365400"/>
    <n v="360000"/>
    <n v="5400"/>
    <n v="1.4778325123152709E-2"/>
    <x v="0"/>
    <x v="0"/>
    <s v="Average Performer"/>
  </r>
  <r>
    <d v="2027-02-16T00:00:00"/>
    <x v="1"/>
    <x v="1"/>
    <s v="Blue"/>
    <x v="1"/>
    <x v="12"/>
    <n v="3"/>
    <n v="59000"/>
    <n v="65000"/>
    <n v="195000"/>
    <n v="177000"/>
    <n v="18000"/>
    <n v="9.2307692307692313E-2"/>
    <x v="0"/>
    <x v="1"/>
    <s v="Average Performer"/>
  </r>
  <r>
    <d v="2027-02-17T00:00:00"/>
    <x v="4"/>
    <x v="3"/>
    <s v="Red"/>
    <x v="0"/>
    <x v="4"/>
    <n v="1"/>
    <n v="62000"/>
    <n v="68500"/>
    <n v="68500"/>
    <n v="62000"/>
    <n v="6500"/>
    <n v="9.4890510948905105E-2"/>
    <x v="0"/>
    <x v="1"/>
    <s v="Average Performer"/>
  </r>
  <r>
    <d v="2027-02-18T00:00:00"/>
    <x v="2"/>
    <x v="2"/>
    <s v="Red"/>
    <x v="0"/>
    <x v="11"/>
    <n v="4"/>
    <n v="48000"/>
    <n v="53000"/>
    <n v="212000"/>
    <n v="192000"/>
    <n v="20000"/>
    <n v="9.4339622641509441E-2"/>
    <x v="0"/>
    <x v="1"/>
    <s v="Average Performer"/>
  </r>
  <r>
    <d v="2027-02-19T00:00:00"/>
    <x v="2"/>
    <x v="2"/>
    <s v="Brown"/>
    <x v="3"/>
    <x v="13"/>
    <n v="10"/>
    <n v="45000"/>
    <n v="50000"/>
    <n v="500000"/>
    <n v="450000"/>
    <n v="50000"/>
    <n v="0.1"/>
    <x v="0"/>
    <x v="1"/>
    <s v="Average Performer"/>
  </r>
  <r>
    <d v="2027-02-20T00:00:00"/>
    <x v="1"/>
    <x v="1"/>
    <s v="Black"/>
    <x v="1"/>
    <x v="6"/>
    <n v="8"/>
    <n v="59000"/>
    <n v="65000"/>
    <n v="520000"/>
    <n v="472000"/>
    <n v="48000"/>
    <n v="9.2307692307692313E-2"/>
    <x v="0"/>
    <x v="1"/>
    <s v="Average Performer"/>
  </r>
  <r>
    <d v="2027-02-21T00:00:00"/>
    <x v="0"/>
    <x v="0"/>
    <s v="Brown"/>
    <x v="0"/>
    <x v="13"/>
    <n v="6"/>
    <n v="127000"/>
    <n v="128800"/>
    <n v="772800"/>
    <n v="762000"/>
    <n v="10800"/>
    <n v="1.3975155279503106E-2"/>
    <x v="0"/>
    <x v="0"/>
    <s v="Average Performer"/>
  </r>
  <r>
    <d v="2027-02-22T00:00:00"/>
    <x v="0"/>
    <x v="0"/>
    <s v="Black"/>
    <x v="1"/>
    <x v="9"/>
    <n v="1"/>
    <n v="112000"/>
    <n v="113800"/>
    <n v="113800"/>
    <n v="112000"/>
    <n v="1800"/>
    <n v="1.5817223198594025E-2"/>
    <x v="0"/>
    <x v="0"/>
    <s v="Average Performer"/>
  </r>
  <r>
    <d v="2027-02-23T00:00:00"/>
    <x v="7"/>
    <x v="0"/>
    <s v="Black"/>
    <x v="1"/>
    <x v="1"/>
    <n v="5"/>
    <n v="139000"/>
    <n v="140800"/>
    <n v="704000"/>
    <n v="695000"/>
    <n v="9000"/>
    <n v="1.278409090909091E-2"/>
    <x v="0"/>
    <x v="0"/>
    <s v="Average Performer"/>
  </r>
  <r>
    <d v="2027-02-24T00:00:00"/>
    <x v="3"/>
    <x v="1"/>
    <s v="Black"/>
    <x v="1"/>
    <x v="2"/>
    <n v="14"/>
    <n v="70000"/>
    <n v="76500"/>
    <n v="1071000"/>
    <n v="980000"/>
    <n v="91000"/>
    <n v="8.4967320261437912E-2"/>
    <x v="1"/>
    <x v="1"/>
    <s v="Top Performer"/>
  </r>
  <r>
    <d v="2027-02-25T00:00:00"/>
    <x v="6"/>
    <x v="0"/>
    <s v="Black"/>
    <x v="2"/>
    <x v="6"/>
    <n v="8"/>
    <n v="116000"/>
    <n v="117800"/>
    <n v="942400"/>
    <n v="928000"/>
    <n v="14400"/>
    <n v="1.5280135823429542E-2"/>
    <x v="0"/>
    <x v="0"/>
    <s v="Average Performer"/>
  </r>
  <r>
    <d v="2027-02-26T00:00:00"/>
    <x v="0"/>
    <x v="0"/>
    <s v="Green"/>
    <x v="4"/>
    <x v="9"/>
    <n v="10"/>
    <n v="112000"/>
    <n v="113800"/>
    <n v="1138000"/>
    <n v="1120000"/>
    <n v="18000"/>
    <n v="1.5817223198594025E-2"/>
    <x v="0"/>
    <x v="0"/>
    <s v="Top Performer"/>
  </r>
  <r>
    <d v="2027-02-27T00:00:00"/>
    <x v="6"/>
    <x v="0"/>
    <s v="Brown"/>
    <x v="4"/>
    <x v="5"/>
    <n v="13"/>
    <n v="95000"/>
    <n v="96800"/>
    <n v="1258400"/>
    <n v="1235000"/>
    <n v="23400"/>
    <n v="1.859504132231405E-2"/>
    <x v="1"/>
    <x v="1"/>
    <s v="Top Performer"/>
  </r>
  <r>
    <d v="2027-02-28T00:00:00"/>
    <x v="7"/>
    <x v="0"/>
    <s v="Red"/>
    <x v="0"/>
    <x v="13"/>
    <n v="11"/>
    <n v="120000"/>
    <n v="121800"/>
    <n v="1339800"/>
    <n v="1320000"/>
    <n v="19800"/>
    <n v="1.4778325123152709E-2"/>
    <x v="1"/>
    <x v="0"/>
    <s v="Top Performer"/>
  </r>
  <r>
    <d v="2027-03-01T00:00:00"/>
    <x v="6"/>
    <x v="0"/>
    <s v="Brown"/>
    <x v="2"/>
    <x v="9"/>
    <n v="8"/>
    <n v="88000"/>
    <n v="89800"/>
    <n v="718400"/>
    <n v="704000"/>
    <n v="14400"/>
    <n v="2.0044543429844099E-2"/>
    <x v="0"/>
    <x v="1"/>
    <s v="Average Performer"/>
  </r>
  <r>
    <d v="2027-03-02T00:00:00"/>
    <x v="0"/>
    <x v="0"/>
    <s v="Brown"/>
    <x v="3"/>
    <x v="1"/>
    <n v="2"/>
    <n v="126000"/>
    <n v="127800"/>
    <n v="255600"/>
    <n v="252000"/>
    <n v="3600"/>
    <n v="1.4084507042253521E-2"/>
    <x v="0"/>
    <x v="0"/>
    <s v="Average Performer"/>
  </r>
  <r>
    <d v="2027-03-03T00:00:00"/>
    <x v="4"/>
    <x v="3"/>
    <s v="Green"/>
    <x v="0"/>
    <x v="12"/>
    <n v="14"/>
    <n v="73000"/>
    <n v="76000"/>
    <n v="1064000"/>
    <n v="1022000"/>
    <n v="42000"/>
    <n v="3.9473684210526314E-2"/>
    <x v="1"/>
    <x v="1"/>
    <s v="Top Performer"/>
  </r>
  <r>
    <d v="2027-03-04T00:00:00"/>
    <x v="0"/>
    <x v="0"/>
    <s v="Brown"/>
    <x v="0"/>
    <x v="3"/>
    <n v="14"/>
    <n v="102000"/>
    <n v="103800"/>
    <n v="1453200"/>
    <n v="1428000"/>
    <n v="25200"/>
    <n v="1.7341040462427744E-2"/>
    <x v="1"/>
    <x v="0"/>
    <s v="Top Performer"/>
  </r>
  <r>
    <d v="2027-03-05T00:00:00"/>
    <x v="4"/>
    <x v="3"/>
    <s v="Blue"/>
    <x v="4"/>
    <x v="7"/>
    <n v="13"/>
    <n v="62000"/>
    <n v="68500"/>
    <n v="890500"/>
    <n v="806000"/>
    <n v="84500"/>
    <n v="9.4890510948905105E-2"/>
    <x v="1"/>
    <x v="1"/>
    <s v="Average Performer"/>
  </r>
  <r>
    <d v="2027-03-06T00:00:00"/>
    <x v="1"/>
    <x v="1"/>
    <s v="Brown"/>
    <x v="0"/>
    <x v="11"/>
    <n v="9"/>
    <n v="55000"/>
    <n v="61000"/>
    <n v="549000"/>
    <n v="495000"/>
    <n v="54000"/>
    <n v="9.8360655737704916E-2"/>
    <x v="0"/>
    <x v="1"/>
    <s v="Average Performer"/>
  </r>
  <r>
    <d v="2027-03-07T00:00:00"/>
    <x v="0"/>
    <x v="0"/>
    <s v="Green"/>
    <x v="4"/>
    <x v="7"/>
    <n v="11"/>
    <n v="106000"/>
    <n v="107800"/>
    <n v="1185800"/>
    <n v="1166000"/>
    <n v="19800"/>
    <n v="1.6697588126159554E-2"/>
    <x v="1"/>
    <x v="0"/>
    <s v="Top Performer"/>
  </r>
  <r>
    <d v="2027-03-08T00:00:00"/>
    <x v="0"/>
    <x v="0"/>
    <s v="Green"/>
    <x v="4"/>
    <x v="1"/>
    <n v="9"/>
    <n v="139000"/>
    <n v="140800"/>
    <n v="1267200"/>
    <n v="1251000"/>
    <n v="16200"/>
    <n v="1.278409090909091E-2"/>
    <x v="0"/>
    <x v="0"/>
    <s v="Top Performer"/>
  </r>
  <r>
    <d v="2027-03-09T00:00:00"/>
    <x v="4"/>
    <x v="3"/>
    <s v="Red"/>
    <x v="4"/>
    <x v="3"/>
    <n v="3"/>
    <n v="56000"/>
    <n v="62000"/>
    <n v="186000"/>
    <n v="168000"/>
    <n v="18000"/>
    <n v="9.6774193548387094E-2"/>
    <x v="0"/>
    <x v="1"/>
    <s v="Average Performer"/>
  </r>
  <r>
    <d v="2027-03-10T00:00:00"/>
    <x v="7"/>
    <x v="0"/>
    <s v="Green"/>
    <x v="0"/>
    <x v="12"/>
    <n v="12"/>
    <n v="113000"/>
    <n v="114800"/>
    <n v="1377600"/>
    <n v="1356000"/>
    <n v="21600"/>
    <n v="1.5679442508710801E-2"/>
    <x v="1"/>
    <x v="0"/>
    <s v="Top Performer"/>
  </r>
  <r>
    <d v="2027-03-11T00:00:00"/>
    <x v="1"/>
    <x v="1"/>
    <s v="Green"/>
    <x v="3"/>
    <x v="6"/>
    <n v="5"/>
    <n v="68000"/>
    <n v="74500"/>
    <n v="372500"/>
    <n v="340000"/>
    <n v="32500"/>
    <n v="8.7248322147651006E-2"/>
    <x v="0"/>
    <x v="1"/>
    <s v="Average Performer"/>
  </r>
  <r>
    <d v="2027-03-12T00:00:00"/>
    <x v="1"/>
    <x v="1"/>
    <s v="Red"/>
    <x v="3"/>
    <x v="2"/>
    <n v="3"/>
    <n v="56000"/>
    <n v="62000"/>
    <n v="186000"/>
    <n v="168000"/>
    <n v="18000"/>
    <n v="9.6774193548387094E-2"/>
    <x v="0"/>
    <x v="1"/>
    <s v="Average Performer"/>
  </r>
  <r>
    <d v="2027-03-13T00:00:00"/>
    <x v="1"/>
    <x v="1"/>
    <s v="Blue"/>
    <x v="4"/>
    <x v="5"/>
    <n v="1"/>
    <n v="64000"/>
    <n v="70500"/>
    <n v="70500"/>
    <n v="64000"/>
    <n v="6500"/>
    <n v="9.2198581560283682E-2"/>
    <x v="0"/>
    <x v="1"/>
    <s v="Average Performer"/>
  </r>
  <r>
    <d v="2027-03-14T00:00:00"/>
    <x v="5"/>
    <x v="0"/>
    <s v="Brown"/>
    <x v="4"/>
    <x v="3"/>
    <n v="13"/>
    <n v="107000"/>
    <n v="108800"/>
    <n v="1414400"/>
    <n v="1391000"/>
    <n v="23400"/>
    <n v="1.6544117647058824E-2"/>
    <x v="1"/>
    <x v="0"/>
    <s v="Top Performer"/>
  </r>
  <r>
    <d v="2027-03-15T00:00:00"/>
    <x v="4"/>
    <x v="3"/>
    <s v="Brown"/>
    <x v="3"/>
    <x v="7"/>
    <n v="1"/>
    <n v="77000"/>
    <n v="80000"/>
    <n v="80000"/>
    <n v="77000"/>
    <n v="3000"/>
    <n v="3.7499999999999999E-2"/>
    <x v="0"/>
    <x v="1"/>
    <s v="Average Performer"/>
  </r>
  <r>
    <d v="2027-03-16T00:00:00"/>
    <x v="3"/>
    <x v="1"/>
    <s v="Blue"/>
    <x v="3"/>
    <x v="10"/>
    <n v="7"/>
    <n v="67000"/>
    <n v="73500"/>
    <n v="514500"/>
    <n v="469000"/>
    <n v="45500"/>
    <n v="8.8435374149659865E-2"/>
    <x v="0"/>
    <x v="1"/>
    <s v="Average Performer"/>
  </r>
  <r>
    <d v="2027-03-17T00:00:00"/>
    <x v="2"/>
    <x v="2"/>
    <s v="Green"/>
    <x v="2"/>
    <x v="9"/>
    <n v="8"/>
    <n v="53000"/>
    <n v="59000"/>
    <n v="472000"/>
    <n v="424000"/>
    <n v="48000"/>
    <n v="0.10169491525423729"/>
    <x v="0"/>
    <x v="1"/>
    <s v="Average Performer"/>
  </r>
  <r>
    <d v="2027-03-18T00:00:00"/>
    <x v="7"/>
    <x v="0"/>
    <s v="Brown"/>
    <x v="4"/>
    <x v="1"/>
    <n v="12"/>
    <n v="114000"/>
    <n v="115800"/>
    <n v="1389600"/>
    <n v="1368000"/>
    <n v="21600"/>
    <n v="1.5544041450777202E-2"/>
    <x v="1"/>
    <x v="0"/>
    <s v="Top Performer"/>
  </r>
  <r>
    <d v="2027-03-19T00:00:00"/>
    <x v="6"/>
    <x v="0"/>
    <s v="Brown"/>
    <x v="1"/>
    <x v="1"/>
    <n v="4"/>
    <n v="112000"/>
    <n v="113800"/>
    <n v="455200"/>
    <n v="448000"/>
    <n v="7200"/>
    <n v="1.5817223198594025E-2"/>
    <x v="0"/>
    <x v="0"/>
    <s v="Average Performer"/>
  </r>
  <r>
    <d v="2027-03-20T00:00:00"/>
    <x v="6"/>
    <x v="0"/>
    <s v="Brown"/>
    <x v="2"/>
    <x v="12"/>
    <n v="12"/>
    <n v="101000"/>
    <n v="102800"/>
    <n v="1233600"/>
    <n v="1212000"/>
    <n v="21600"/>
    <n v="1.7509727626459144E-2"/>
    <x v="1"/>
    <x v="0"/>
    <s v="Top Performer"/>
  </r>
  <r>
    <d v="2027-03-21T00:00:00"/>
    <x v="2"/>
    <x v="2"/>
    <s v="Brown"/>
    <x v="3"/>
    <x v="3"/>
    <n v="15"/>
    <n v="46000"/>
    <n v="51000"/>
    <n v="765000"/>
    <n v="690000"/>
    <n v="75000"/>
    <n v="9.8039215686274508E-2"/>
    <x v="1"/>
    <x v="1"/>
    <s v="Average Performer"/>
  </r>
  <r>
    <d v="2027-03-22T00:00:00"/>
    <x v="4"/>
    <x v="3"/>
    <s v="Green"/>
    <x v="2"/>
    <x v="13"/>
    <n v="7"/>
    <n v="70000"/>
    <n v="76500"/>
    <n v="535500"/>
    <n v="490000"/>
    <n v="45500"/>
    <n v="8.4967320261437912E-2"/>
    <x v="0"/>
    <x v="1"/>
    <s v="Average Performer"/>
  </r>
  <r>
    <d v="2027-03-23T00:00:00"/>
    <x v="2"/>
    <x v="2"/>
    <s v="Black"/>
    <x v="2"/>
    <x v="5"/>
    <n v="10"/>
    <n v="49000"/>
    <n v="54000"/>
    <n v="540000"/>
    <n v="490000"/>
    <n v="50000"/>
    <n v="9.2592592592592587E-2"/>
    <x v="0"/>
    <x v="1"/>
    <s v="Average Performer"/>
  </r>
  <r>
    <d v="2027-03-24T00:00:00"/>
    <x v="1"/>
    <x v="1"/>
    <s v="Blue"/>
    <x v="0"/>
    <x v="5"/>
    <n v="14"/>
    <n v="52000"/>
    <n v="58000"/>
    <n v="812000"/>
    <n v="728000"/>
    <n v="84000"/>
    <n v="0.10344827586206896"/>
    <x v="1"/>
    <x v="1"/>
    <s v="Average Performer"/>
  </r>
  <r>
    <d v="2027-03-25T00:00:00"/>
    <x v="7"/>
    <x v="0"/>
    <s v="Blue"/>
    <x v="1"/>
    <x v="2"/>
    <n v="11"/>
    <n v="115000"/>
    <n v="116800"/>
    <n v="1284800"/>
    <n v="1265000"/>
    <n v="19800"/>
    <n v="1.5410958904109588E-2"/>
    <x v="1"/>
    <x v="0"/>
    <s v="Top Performer"/>
  </r>
  <r>
    <d v="2027-03-26T00:00:00"/>
    <x v="5"/>
    <x v="0"/>
    <s v="Green"/>
    <x v="1"/>
    <x v="8"/>
    <n v="15"/>
    <n v="112000"/>
    <n v="113800"/>
    <n v="1707000"/>
    <n v="1680000"/>
    <n v="27000"/>
    <n v="1.5817223198594025E-2"/>
    <x v="1"/>
    <x v="0"/>
    <s v="Top Performer"/>
  </r>
  <r>
    <d v="2027-03-27T00:00:00"/>
    <x v="0"/>
    <x v="0"/>
    <s v="Red"/>
    <x v="2"/>
    <x v="3"/>
    <n v="9"/>
    <n v="135000"/>
    <n v="136800"/>
    <n v="1231200"/>
    <n v="1215000"/>
    <n v="16200"/>
    <n v="1.3157894736842105E-2"/>
    <x v="0"/>
    <x v="0"/>
    <s v="Top Performer"/>
  </r>
  <r>
    <d v="2027-03-28T00:00:00"/>
    <x v="1"/>
    <x v="1"/>
    <s v="Blue"/>
    <x v="3"/>
    <x v="3"/>
    <n v="3"/>
    <n v="67000"/>
    <n v="73500"/>
    <n v="220500"/>
    <n v="201000"/>
    <n v="19500"/>
    <n v="8.8435374149659865E-2"/>
    <x v="0"/>
    <x v="1"/>
    <s v="Average Performer"/>
  </r>
  <r>
    <d v="2027-03-29T00:00:00"/>
    <x v="1"/>
    <x v="1"/>
    <s v="Brown"/>
    <x v="3"/>
    <x v="2"/>
    <n v="3"/>
    <n v="64000"/>
    <n v="70500"/>
    <n v="211500"/>
    <n v="192000"/>
    <n v="19500"/>
    <n v="9.2198581560283682E-2"/>
    <x v="0"/>
    <x v="1"/>
    <s v="Average Performer"/>
  </r>
  <r>
    <d v="2027-03-30T00:00:00"/>
    <x v="7"/>
    <x v="0"/>
    <s v="Brown"/>
    <x v="0"/>
    <x v="4"/>
    <n v="9"/>
    <n v="139000"/>
    <n v="140800"/>
    <n v="1267200"/>
    <n v="1251000"/>
    <n v="16200"/>
    <n v="1.278409090909091E-2"/>
    <x v="0"/>
    <x v="0"/>
    <s v="Top Performer"/>
  </r>
  <r>
    <d v="2027-03-31T00:00:00"/>
    <x v="4"/>
    <x v="3"/>
    <s v="Black"/>
    <x v="2"/>
    <x v="11"/>
    <n v="9"/>
    <n v="58000"/>
    <n v="64000"/>
    <n v="576000"/>
    <n v="522000"/>
    <n v="54000"/>
    <n v="9.375E-2"/>
    <x v="0"/>
    <x v="1"/>
    <s v="Average Performer"/>
  </r>
  <r>
    <d v="2027-04-01T00:00:00"/>
    <x v="5"/>
    <x v="0"/>
    <s v="Red"/>
    <x v="0"/>
    <x v="3"/>
    <n v="13"/>
    <n v="123000"/>
    <n v="124800"/>
    <n v="1622400"/>
    <n v="1599000"/>
    <n v="23400"/>
    <n v="1.4423076923076924E-2"/>
    <x v="1"/>
    <x v="0"/>
    <s v="Top Performer"/>
  </r>
  <r>
    <d v="2027-04-02T00:00:00"/>
    <x v="2"/>
    <x v="2"/>
    <s v="Black"/>
    <x v="3"/>
    <x v="13"/>
    <n v="8"/>
    <n v="50000"/>
    <n v="55000"/>
    <n v="440000"/>
    <n v="400000"/>
    <n v="40000"/>
    <n v="9.0909090909090912E-2"/>
    <x v="0"/>
    <x v="1"/>
    <s v="Average Performer"/>
  </r>
  <r>
    <d v="2027-04-03T00:00:00"/>
    <x v="5"/>
    <x v="0"/>
    <s v="Green"/>
    <x v="3"/>
    <x v="0"/>
    <n v="4"/>
    <n v="90000"/>
    <n v="91800"/>
    <n v="367200"/>
    <n v="360000"/>
    <n v="7200"/>
    <n v="1.9607843137254902E-2"/>
    <x v="0"/>
    <x v="1"/>
    <s v="Average Performer"/>
  </r>
  <r>
    <d v="2027-04-04T00:00:00"/>
    <x v="7"/>
    <x v="0"/>
    <s v="Red"/>
    <x v="1"/>
    <x v="12"/>
    <n v="6"/>
    <n v="100000"/>
    <n v="101800"/>
    <n v="610800"/>
    <n v="600000"/>
    <n v="10800"/>
    <n v="1.768172888015717E-2"/>
    <x v="0"/>
    <x v="0"/>
    <s v="Average Performer"/>
  </r>
  <r>
    <d v="2027-04-05T00:00:00"/>
    <x v="1"/>
    <x v="1"/>
    <s v="Brown"/>
    <x v="2"/>
    <x v="5"/>
    <n v="3"/>
    <n v="50000"/>
    <n v="55000"/>
    <n v="165000"/>
    <n v="150000"/>
    <n v="15000"/>
    <n v="9.0909090909090912E-2"/>
    <x v="0"/>
    <x v="1"/>
    <s v="Average Performer"/>
  </r>
  <r>
    <d v="2027-04-06T00:00:00"/>
    <x v="6"/>
    <x v="0"/>
    <s v="Black"/>
    <x v="2"/>
    <x v="5"/>
    <n v="7"/>
    <n v="83000"/>
    <n v="84800"/>
    <n v="593600"/>
    <n v="581000"/>
    <n v="12600"/>
    <n v="2.1226415094339621E-2"/>
    <x v="0"/>
    <x v="1"/>
    <s v="Average Performer"/>
  </r>
  <r>
    <d v="2027-04-07T00:00:00"/>
    <x v="0"/>
    <x v="0"/>
    <s v="Green"/>
    <x v="2"/>
    <x v="0"/>
    <n v="7"/>
    <n v="108000"/>
    <n v="109800"/>
    <n v="768600"/>
    <n v="756000"/>
    <n v="12600"/>
    <n v="1.6393442622950821E-2"/>
    <x v="0"/>
    <x v="0"/>
    <s v="Average Performer"/>
  </r>
  <r>
    <d v="2027-04-08T00:00:00"/>
    <x v="1"/>
    <x v="1"/>
    <s v="Green"/>
    <x v="4"/>
    <x v="0"/>
    <n v="1"/>
    <n v="53000"/>
    <n v="59000"/>
    <n v="59000"/>
    <n v="53000"/>
    <n v="6000"/>
    <n v="0.10169491525423729"/>
    <x v="0"/>
    <x v="1"/>
    <s v="Average Performer"/>
  </r>
  <r>
    <d v="2027-04-09T00:00:00"/>
    <x v="0"/>
    <x v="0"/>
    <s v="Green"/>
    <x v="3"/>
    <x v="2"/>
    <n v="12"/>
    <n v="113000"/>
    <n v="114800"/>
    <n v="1377600"/>
    <n v="1356000"/>
    <n v="21600"/>
    <n v="1.5679442508710801E-2"/>
    <x v="1"/>
    <x v="0"/>
    <s v="Top Performer"/>
  </r>
  <r>
    <d v="2027-04-10T00:00:00"/>
    <x v="5"/>
    <x v="0"/>
    <s v="Blue"/>
    <x v="4"/>
    <x v="9"/>
    <n v="13"/>
    <n v="103000"/>
    <n v="104800"/>
    <n v="1362400"/>
    <n v="1339000"/>
    <n v="23400"/>
    <n v="1.717557251908397E-2"/>
    <x v="1"/>
    <x v="0"/>
    <s v="Top Performer"/>
  </r>
  <r>
    <d v="2027-04-11T00:00:00"/>
    <x v="1"/>
    <x v="1"/>
    <s v="Red"/>
    <x v="4"/>
    <x v="12"/>
    <n v="11"/>
    <n v="50000"/>
    <n v="55000"/>
    <n v="605000"/>
    <n v="550000"/>
    <n v="55000"/>
    <n v="9.0909090909090912E-2"/>
    <x v="1"/>
    <x v="1"/>
    <s v="Average Performer"/>
  </r>
  <r>
    <d v="2027-04-12T00:00:00"/>
    <x v="4"/>
    <x v="3"/>
    <s v="Red"/>
    <x v="3"/>
    <x v="5"/>
    <n v="15"/>
    <n v="71000"/>
    <n v="74000"/>
    <n v="1110000"/>
    <n v="1065000"/>
    <n v="45000"/>
    <n v="4.0540540540540543E-2"/>
    <x v="1"/>
    <x v="1"/>
    <s v="Top Performer"/>
  </r>
  <r>
    <d v="2027-04-13T00:00:00"/>
    <x v="2"/>
    <x v="2"/>
    <s v="Black"/>
    <x v="2"/>
    <x v="0"/>
    <n v="10"/>
    <n v="46000"/>
    <n v="51000"/>
    <n v="510000"/>
    <n v="460000"/>
    <n v="50000"/>
    <n v="9.8039215686274508E-2"/>
    <x v="0"/>
    <x v="1"/>
    <s v="Average Performer"/>
  </r>
  <r>
    <d v="2027-04-14T00:00:00"/>
    <x v="6"/>
    <x v="0"/>
    <s v="Red"/>
    <x v="0"/>
    <x v="8"/>
    <n v="4"/>
    <n v="106000"/>
    <n v="107800"/>
    <n v="431200"/>
    <n v="424000"/>
    <n v="7200"/>
    <n v="1.6697588126159554E-2"/>
    <x v="0"/>
    <x v="0"/>
    <s v="Average Performer"/>
  </r>
  <r>
    <d v="2027-04-15T00:00:00"/>
    <x v="4"/>
    <x v="3"/>
    <s v="Black"/>
    <x v="0"/>
    <x v="0"/>
    <n v="8"/>
    <n v="77000"/>
    <n v="80000"/>
    <n v="640000"/>
    <n v="616000"/>
    <n v="24000"/>
    <n v="3.7499999999999999E-2"/>
    <x v="0"/>
    <x v="1"/>
    <s v="Average Performer"/>
  </r>
  <r>
    <d v="2027-04-16T00:00:00"/>
    <x v="2"/>
    <x v="2"/>
    <s v="Black"/>
    <x v="2"/>
    <x v="4"/>
    <n v="3"/>
    <n v="45000"/>
    <n v="50000"/>
    <n v="150000"/>
    <n v="135000"/>
    <n v="15000"/>
    <n v="0.1"/>
    <x v="0"/>
    <x v="1"/>
    <s v="Average Performer"/>
  </r>
  <r>
    <d v="2027-04-17T00:00:00"/>
    <x v="1"/>
    <x v="1"/>
    <s v="Green"/>
    <x v="4"/>
    <x v="4"/>
    <n v="3"/>
    <n v="65000"/>
    <n v="71500"/>
    <n v="214500"/>
    <n v="195000"/>
    <n v="19500"/>
    <n v="9.0909090909090912E-2"/>
    <x v="0"/>
    <x v="1"/>
    <s v="Average Performer"/>
  </r>
  <r>
    <d v="2027-04-18T00:00:00"/>
    <x v="3"/>
    <x v="1"/>
    <s v="Red"/>
    <x v="3"/>
    <x v="3"/>
    <n v="14"/>
    <n v="74000"/>
    <n v="77000"/>
    <n v="1078000"/>
    <n v="1036000"/>
    <n v="42000"/>
    <n v="3.896103896103896E-2"/>
    <x v="1"/>
    <x v="1"/>
    <s v="Top Performer"/>
  </r>
  <r>
    <d v="2027-04-19T00:00:00"/>
    <x v="5"/>
    <x v="0"/>
    <s v="Green"/>
    <x v="2"/>
    <x v="9"/>
    <n v="5"/>
    <n v="90000"/>
    <n v="91800"/>
    <n v="459000"/>
    <n v="450000"/>
    <n v="9000"/>
    <n v="1.9607843137254902E-2"/>
    <x v="0"/>
    <x v="1"/>
    <s v="Average Performer"/>
  </r>
  <r>
    <d v="2027-04-20T00:00:00"/>
    <x v="7"/>
    <x v="0"/>
    <s v="Brown"/>
    <x v="3"/>
    <x v="3"/>
    <n v="2"/>
    <n v="120000"/>
    <n v="121800"/>
    <n v="243600"/>
    <n v="240000"/>
    <n v="3600"/>
    <n v="1.4778325123152709E-2"/>
    <x v="0"/>
    <x v="0"/>
    <s v="Average Perform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50DD47-D583-437F-9B3A-0154D40D850A}"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
  <location ref="AC7:AD16" firstHeaderRow="1" firstDataRow="1" firstDataCol="1"/>
  <pivotFields count="16">
    <pivotField numFmtId="166" showAll="0"/>
    <pivotField axis="axisRow" showAll="0">
      <items count="9">
        <item x="4"/>
        <item x="6"/>
        <item x="1"/>
        <item x="0"/>
        <item x="3"/>
        <item x="7"/>
        <item x="5"/>
        <item x="2"/>
        <item t="default"/>
      </items>
    </pivotField>
    <pivotField showAll="0"/>
    <pivotField showAll="0"/>
    <pivotField showAll="0"/>
    <pivotField showAll="0">
      <items count="15">
        <item x="8"/>
        <item x="10"/>
        <item x="11"/>
        <item x="9"/>
        <item x="7"/>
        <item x="2"/>
        <item x="6"/>
        <item x="5"/>
        <item x="0"/>
        <item x="12"/>
        <item x="1"/>
        <item x="3"/>
        <item x="4"/>
        <item x="13"/>
        <item t="default"/>
      </items>
    </pivotField>
    <pivotField numFmtId="1" showAll="0"/>
    <pivotField numFmtId="165" showAll="0"/>
    <pivotField numFmtId="165" showAll="0"/>
    <pivotField numFmtId="165" showAll="0"/>
    <pivotField numFmtId="165" showAll="0"/>
    <pivotField numFmtId="165" showAll="0"/>
    <pivotField dataField="1" numFmtId="167" showAll="0"/>
    <pivotField showAll="0"/>
    <pivotField showAll="0"/>
    <pivotField showAll="0"/>
  </pivotFields>
  <rowFields count="1">
    <field x="1"/>
  </rowFields>
  <rowItems count="9">
    <i>
      <x/>
    </i>
    <i>
      <x v="1"/>
    </i>
    <i>
      <x v="2"/>
    </i>
    <i>
      <x v="3"/>
    </i>
    <i>
      <x v="4"/>
    </i>
    <i>
      <x v="5"/>
    </i>
    <i>
      <x v="6"/>
    </i>
    <i>
      <x v="7"/>
    </i>
    <i t="grand">
      <x/>
    </i>
  </rowItems>
  <colItems count="1">
    <i/>
  </colItems>
  <dataFields count="1">
    <dataField name="Count of Profit Margin" fld="12" subtotal="count" baseField="1" baseItem="2"/>
  </dataFields>
  <formats count="1">
    <format dxfId="39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C7AFF3-63A7-433C-9965-238815181111}"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Brand">
  <location ref="V7:W13" firstHeaderRow="1" firstDataRow="1" firstDataCol="1"/>
  <pivotFields count="16">
    <pivotField numFmtId="166" showAll="0"/>
    <pivotField showAll="0">
      <items count="9">
        <item x="4"/>
        <item x="6"/>
        <item x="1"/>
        <item x="0"/>
        <item x="3"/>
        <item x="7"/>
        <item x="5"/>
        <item x="2"/>
        <item t="default"/>
      </items>
    </pivotField>
    <pivotField showAll="0"/>
    <pivotField showAll="0"/>
    <pivotField axis="axisRow" showAll="0" sortType="ascending">
      <items count="6">
        <item x="0"/>
        <item x="2"/>
        <item x="1"/>
        <item x="4"/>
        <item x="3"/>
        <item t="default"/>
      </items>
      <autoSortScope>
        <pivotArea dataOnly="0" outline="0" fieldPosition="0">
          <references count="1">
            <reference field="4294967294" count="1" selected="0">
              <x v="0"/>
            </reference>
          </references>
        </pivotArea>
      </autoSortScope>
    </pivotField>
    <pivotField showAll="0">
      <items count="15">
        <item x="8"/>
        <item x="10"/>
        <item x="11"/>
        <item x="9"/>
        <item x="7"/>
        <item x="2"/>
        <item x="6"/>
        <item x="5"/>
        <item x="0"/>
        <item x="12"/>
        <item x="1"/>
        <item x="3"/>
        <item x="4"/>
        <item x="13"/>
        <item t="default"/>
      </items>
    </pivotField>
    <pivotField dataField="1" numFmtId="1" showAll="0"/>
    <pivotField numFmtId="165" showAll="0"/>
    <pivotField numFmtId="165" showAll="0"/>
    <pivotField numFmtId="165" showAll="0"/>
    <pivotField numFmtId="165" showAll="0"/>
    <pivotField numFmtId="165" showAll="0"/>
    <pivotField numFmtId="167" showAll="0"/>
    <pivotField showAll="0"/>
    <pivotField showAll="0"/>
    <pivotField showAll="0"/>
  </pivotFields>
  <rowFields count="1">
    <field x="4"/>
  </rowFields>
  <rowItems count="6">
    <i>
      <x v="2"/>
    </i>
    <i>
      <x v="3"/>
    </i>
    <i>
      <x v="1"/>
    </i>
    <i>
      <x v="4"/>
    </i>
    <i>
      <x/>
    </i>
    <i t="grand">
      <x/>
    </i>
  </rowItems>
  <colItems count="1">
    <i/>
  </colItems>
  <dataFields count="1">
    <dataField name="Total Quantity Sold" fld="6" baseField="4" baseItem="0" numFmtId="3"/>
  </dataFields>
  <formats count="1">
    <format dxfId="395">
      <pivotArea outline="0" collapsedLevelsAreSubtotals="1" fieldPosition="0"/>
    </format>
  </formats>
  <conditionalFormats count="1">
    <conditionalFormat type="all" priority="10">
      <pivotAreas count="1">
        <pivotArea type="data" collapsedLevelsAreSubtotals="1" fieldPosition="0">
          <references count="2">
            <reference field="4294967294" count="1" selected="0">
              <x v="0"/>
            </reference>
            <reference field="4" count="5">
              <x v="0"/>
              <x v="1"/>
              <x v="2"/>
              <x v="3"/>
              <x v="4"/>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52100B-E2A8-45A8-8B73-D63046810179}"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Category">
  <location ref="R7:S12" firstHeaderRow="1" firstDataRow="1" firstDataCol="1"/>
  <pivotFields count="16">
    <pivotField numFmtId="166" showAll="0"/>
    <pivotField showAll="0">
      <items count="9">
        <item x="4"/>
        <item x="6"/>
        <item x="1"/>
        <item x="0"/>
        <item x="3"/>
        <item x="7"/>
        <item x="5"/>
        <item x="2"/>
        <item t="default"/>
      </items>
    </pivotField>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x="8"/>
        <item x="10"/>
        <item x="11"/>
        <item x="9"/>
        <item x="7"/>
        <item x="2"/>
        <item x="6"/>
        <item x="5"/>
        <item x="0"/>
        <item x="12"/>
        <item x="1"/>
        <item x="3"/>
        <item x="4"/>
        <item x="13"/>
        <item t="default"/>
      </items>
    </pivotField>
    <pivotField numFmtId="1" showAll="0"/>
    <pivotField numFmtId="165" showAll="0"/>
    <pivotField numFmtId="165" showAll="0"/>
    <pivotField dataField="1" numFmtId="165" showAll="0"/>
    <pivotField numFmtId="165" showAll="0"/>
    <pivotField numFmtId="165" showAll="0"/>
    <pivotField numFmtId="167" showAll="0"/>
    <pivotField showAll="0"/>
    <pivotField showAll="0"/>
    <pivotField showAll="0"/>
  </pivotFields>
  <rowFields count="1">
    <field x="2"/>
  </rowFields>
  <rowItems count="5">
    <i>
      <x v="1"/>
    </i>
    <i>
      <x/>
    </i>
    <i>
      <x v="3"/>
    </i>
    <i>
      <x v="2"/>
    </i>
    <i t="grand">
      <x/>
    </i>
  </rowItems>
  <colItems count="1">
    <i/>
  </colItems>
  <dataFields count="1">
    <dataField name=" Revenue" fld="9" baseField="5" baseItem="0" numFmtId="165"/>
  </dataFields>
  <formats count="1">
    <format dxfId="396">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1"/>
          </reference>
        </references>
      </pivotArea>
    </chartFormat>
    <chartFormat chart="2" format="12">
      <pivotArea type="data" outline="0" fieldPosition="0">
        <references count="2">
          <reference field="4294967294" count="1" selected="0">
            <x v="0"/>
          </reference>
          <reference field="2" count="1" selected="0">
            <x v="0"/>
          </reference>
        </references>
      </pivotArea>
    </chartFormat>
    <chartFormat chart="2" format="13">
      <pivotArea type="data" outline="0" fieldPosition="0">
        <references count="2">
          <reference field="4294967294" count="1" selected="0">
            <x v="0"/>
          </reference>
          <reference field="2" count="1" selected="0">
            <x v="3"/>
          </reference>
        </references>
      </pivotArea>
    </chartFormat>
    <chartFormat chart="2" format="14">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5A05B0-8E85-40FD-8524-5C6D28E84A18}"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roduct Category">
  <location ref="Z7:AA10" firstHeaderRow="1" firstDataRow="1" firstDataCol="1"/>
  <pivotFields count="16">
    <pivotField numFmtId="166" showAll="0"/>
    <pivotField showAll="0">
      <items count="9">
        <item x="4"/>
        <item x="6"/>
        <item x="1"/>
        <item x="0"/>
        <item x="3"/>
        <item x="7"/>
        <item x="5"/>
        <item x="2"/>
        <item t="default"/>
      </items>
    </pivotField>
    <pivotField showAll="0"/>
    <pivotField showAll="0"/>
    <pivotField showAll="0"/>
    <pivotField showAll="0">
      <items count="15">
        <item x="8"/>
        <item x="10"/>
        <item x="11"/>
        <item x="9"/>
        <item x="7"/>
        <item x="2"/>
        <item x="6"/>
        <item x="5"/>
        <item x="0"/>
        <item x="12"/>
        <item x="1"/>
        <item x="3"/>
        <item x="4"/>
        <item x="13"/>
        <item t="default"/>
      </items>
    </pivotField>
    <pivotField numFmtId="1" showAll="0"/>
    <pivotField numFmtId="165" showAll="0"/>
    <pivotField numFmtId="165" showAll="0"/>
    <pivotField dataField="1" numFmtId="165" showAll="0"/>
    <pivotField numFmtId="165" showAll="0"/>
    <pivotField numFmtId="165" showAll="0"/>
    <pivotField numFmtId="167" showAll="0"/>
    <pivotField showAll="0"/>
    <pivotField axis="axisRow" showAll="0">
      <items count="3">
        <item x="0"/>
        <item x="1"/>
        <item t="default"/>
      </items>
    </pivotField>
    <pivotField showAll="0"/>
  </pivotFields>
  <rowFields count="1">
    <field x="14"/>
  </rowFields>
  <rowItems count="3">
    <i>
      <x/>
    </i>
    <i>
      <x v="1"/>
    </i>
    <i t="grand">
      <x/>
    </i>
  </rowItems>
  <colItems count="1">
    <i/>
  </colItems>
  <dataFields count="1">
    <dataField name=" Revenue" fld="9" baseField="14" baseItem="0" numFmtId="165"/>
  </dataFields>
  <formats count="1">
    <format dxfId="394">
      <pivotArea outline="0" collapsedLevelsAreSubtotals="1" fieldPosition="0"/>
    </format>
  </formats>
  <conditionalFormats count="1">
    <conditionalFormat type="all" priority="11">
      <pivotAreas count="1">
        <pivotArea type="data" collapsedLevelsAreSubtotals="1" fieldPosition="0">
          <references count="2">
            <reference field="4294967294" count="1" selected="0">
              <x v="0"/>
            </reference>
            <reference field="14" count="2">
              <x v="0"/>
              <x v="1"/>
            </reference>
          </references>
        </pivotArea>
      </pivotAreas>
    </conditionalFormat>
  </conditional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4" count="1" selected="0">
            <x v="0"/>
          </reference>
        </references>
      </pivotArea>
    </chartFormat>
    <chartFormat chart="2" format="8">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D1D8F5-132A-4269-80DF-7ED401448A28}"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Country">
  <location ref="F7:G22" firstHeaderRow="1" firstDataRow="1" firstDataCol="1"/>
  <pivotFields count="16">
    <pivotField numFmtId="166" showAll="0"/>
    <pivotField showAll="0">
      <items count="9">
        <item x="4"/>
        <item x="6"/>
        <item x="1"/>
        <item x="0"/>
        <item x="3"/>
        <item x="7"/>
        <item x="5"/>
        <item x="2"/>
        <item t="default"/>
      </items>
    </pivotField>
    <pivotField showAll="0"/>
    <pivotField showAll="0"/>
    <pivotField showAll="0"/>
    <pivotField axis="axisRow" showAll="0" sortType="descending">
      <items count="15">
        <item x="8"/>
        <item x="10"/>
        <item x="11"/>
        <item x="9"/>
        <item x="7"/>
        <item x="2"/>
        <item x="6"/>
        <item x="5"/>
        <item x="0"/>
        <item x="12"/>
        <item x="1"/>
        <item x="3"/>
        <item x="4"/>
        <item x="13"/>
        <item t="default"/>
      </items>
      <autoSortScope>
        <pivotArea dataOnly="0" outline="0" fieldPosition="0">
          <references count="1">
            <reference field="4294967294" count="1" selected="0">
              <x v="0"/>
            </reference>
          </references>
        </pivotArea>
      </autoSortScope>
    </pivotField>
    <pivotField numFmtId="1" showAll="0"/>
    <pivotField numFmtId="165" showAll="0"/>
    <pivotField numFmtId="165" showAll="0"/>
    <pivotField numFmtId="165" showAll="0"/>
    <pivotField numFmtId="165" showAll="0"/>
    <pivotField dataField="1" numFmtId="165" showAll="0"/>
    <pivotField numFmtId="167" showAll="0"/>
    <pivotField showAll="0"/>
    <pivotField showAll="0"/>
    <pivotField showAll="0"/>
  </pivotFields>
  <rowFields count="1">
    <field x="5"/>
  </rowFields>
  <rowItems count="15">
    <i>
      <x v="11"/>
    </i>
    <i>
      <x v="2"/>
    </i>
    <i>
      <x v="13"/>
    </i>
    <i>
      <x v="7"/>
    </i>
    <i>
      <x v="8"/>
    </i>
    <i>
      <x v="1"/>
    </i>
    <i>
      <x v="10"/>
    </i>
    <i>
      <x v="12"/>
    </i>
    <i>
      <x v="9"/>
    </i>
    <i>
      <x v="5"/>
    </i>
    <i>
      <x v="3"/>
    </i>
    <i>
      <x v="4"/>
    </i>
    <i>
      <x v="6"/>
    </i>
    <i>
      <x/>
    </i>
    <i t="grand">
      <x/>
    </i>
  </rowItems>
  <colItems count="1">
    <i/>
  </colItems>
  <dataFields count="1">
    <dataField name=" Profit" fld="11" baseField="5" baseItem="11" numFmtId="165"/>
  </dataFields>
  <formats count="1">
    <format dxfId="419">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6"/>
          </reference>
        </references>
      </pivotArea>
    </chartFormat>
    <chartFormat chart="2" format="4">
      <pivotArea type="data" outline="0" fieldPosition="0">
        <references count="2">
          <reference field="4294967294" count="1" selected="0">
            <x v="0"/>
          </reference>
          <reference field="5" count="1" selected="0">
            <x v="0"/>
          </reference>
        </references>
      </pivotArea>
    </chartFormat>
    <chartFormat chart="2" format="5">
      <pivotArea type="data" outline="0" fieldPosition="0">
        <references count="2">
          <reference field="4294967294" count="1" selected="0">
            <x v="0"/>
          </reference>
          <reference field="5" count="1" selected="0">
            <x v="4"/>
          </reference>
        </references>
      </pivotArea>
    </chartFormat>
    <chartFormat chart="2" format="6">
      <pivotArea type="data" outline="0" fieldPosition="0">
        <references count="2">
          <reference field="4294967294" count="1" selected="0">
            <x v="0"/>
          </reference>
          <reference field="5" count="1" selected="0">
            <x v="3"/>
          </reference>
        </references>
      </pivotArea>
    </chartFormat>
    <chartFormat chart="2" format="7">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ECB861-4AA9-4E40-8192-57DF2F10DDF1}"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Category">
  <location ref="R15:S20" firstHeaderRow="1" firstDataRow="1" firstDataCol="1"/>
  <pivotFields count="16">
    <pivotField numFmtId="166" showAll="0"/>
    <pivotField showAll="0">
      <items count="9">
        <item x="4"/>
        <item x="6"/>
        <item x="1"/>
        <item x="0"/>
        <item x="3"/>
        <item x="7"/>
        <item x="5"/>
        <item x="2"/>
        <item t="default"/>
      </items>
    </pivotField>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x="8"/>
        <item x="10"/>
        <item x="11"/>
        <item x="9"/>
        <item x="7"/>
        <item x="2"/>
        <item x="6"/>
        <item x="5"/>
        <item x="0"/>
        <item x="12"/>
        <item x="1"/>
        <item x="3"/>
        <item x="4"/>
        <item x="13"/>
        <item t="default"/>
      </items>
    </pivotField>
    <pivotField numFmtId="1" showAll="0"/>
    <pivotField numFmtId="165" showAll="0"/>
    <pivotField numFmtId="165" showAll="0"/>
    <pivotField numFmtId="165" showAll="0"/>
    <pivotField numFmtId="165" showAll="0"/>
    <pivotField dataField="1" numFmtId="165" showAll="0"/>
    <pivotField numFmtId="167" showAll="0"/>
    <pivotField showAll="0"/>
    <pivotField showAll="0"/>
    <pivotField showAll="0"/>
  </pivotFields>
  <rowFields count="1">
    <field x="2"/>
  </rowFields>
  <rowItems count="5">
    <i>
      <x/>
    </i>
    <i>
      <x v="1"/>
    </i>
    <i>
      <x v="2"/>
    </i>
    <i>
      <x v="3"/>
    </i>
    <i t="grand">
      <x/>
    </i>
  </rowItems>
  <colItems count="1">
    <i/>
  </colItems>
  <dataFields count="1">
    <dataField name=" Profit" fld="11" baseField="2" baseItem="0"/>
  </dataFields>
  <formats count="1">
    <format dxfId="3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03D5FB-0122-4F3B-A716-4C24EDA84AC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
  <location ref="N7:O16" firstHeaderRow="1" firstDataRow="1" firstDataCol="1"/>
  <pivotFields count="16">
    <pivotField numFmtId="166" showAll="0"/>
    <pivotField axis="axisRow" showAll="0" sortType="descending">
      <items count="9">
        <item x="4"/>
        <item x="6"/>
        <item x="1"/>
        <item x="0"/>
        <item x="3"/>
        <item x="7"/>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x="8"/>
        <item x="10"/>
        <item x="11"/>
        <item x="9"/>
        <item x="7"/>
        <item x="2"/>
        <item x="6"/>
        <item x="5"/>
        <item x="0"/>
        <item x="12"/>
        <item x="1"/>
        <item x="3"/>
        <item x="4"/>
        <item x="13"/>
        <item t="default"/>
      </items>
    </pivotField>
    <pivotField numFmtId="1" showAll="0"/>
    <pivotField numFmtId="165" showAll="0"/>
    <pivotField numFmtId="165" showAll="0"/>
    <pivotField numFmtId="165" showAll="0"/>
    <pivotField numFmtId="165" showAll="0"/>
    <pivotField dataField="1" numFmtId="165" showAll="0"/>
    <pivotField numFmtId="167" showAll="0"/>
    <pivotField showAll="0"/>
    <pivotField showAll="0"/>
    <pivotField showAll="0"/>
  </pivotFields>
  <rowFields count="1">
    <field x="1"/>
  </rowFields>
  <rowItems count="9">
    <i>
      <x v="2"/>
    </i>
    <i>
      <x v="7"/>
    </i>
    <i>
      <x/>
    </i>
    <i>
      <x v="4"/>
    </i>
    <i>
      <x v="5"/>
    </i>
    <i>
      <x v="6"/>
    </i>
    <i>
      <x v="3"/>
    </i>
    <i>
      <x v="1"/>
    </i>
    <i t="grand">
      <x/>
    </i>
  </rowItems>
  <colItems count="1">
    <i/>
  </colItems>
  <dataFields count="1">
    <dataField name=" Profit" fld="11" baseField="1" baseItem="2" numFmtId="165"/>
  </dataFields>
  <formats count="1">
    <format dxfId="397">
      <pivotArea outline="0" collapsedLevelsAreSubtotals="1" fieldPosition="0"/>
    </format>
  </formats>
  <conditionalFormats count="1">
    <conditionalFormat type="all" priority="3">
      <pivotAreas count="1">
        <pivotArea type="data" collapsedLevelsAreSubtotals="1" fieldPosition="0">
          <references count="2">
            <reference field="4294967294" count="1" selected="0">
              <x v="0"/>
            </reference>
            <reference field="1" count="8">
              <x v="0"/>
              <x v="1"/>
              <x v="2"/>
              <x v="3"/>
              <x v="4"/>
              <x v="5"/>
              <x v="6"/>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96E8F7-E3B9-47BF-9A48-F9ACC49B8EF5}"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roduct Category">
  <location ref="Z13:AA16" firstHeaderRow="1" firstDataRow="1" firstDataCol="1"/>
  <pivotFields count="16">
    <pivotField numFmtId="166" showAll="0"/>
    <pivotField showAll="0">
      <items count="9">
        <item x="4"/>
        <item x="6"/>
        <item x="1"/>
        <item x="0"/>
        <item x="3"/>
        <item x="7"/>
        <item x="5"/>
        <item x="2"/>
        <item t="default"/>
      </items>
    </pivotField>
    <pivotField showAll="0"/>
    <pivotField showAll="0"/>
    <pivotField showAll="0"/>
    <pivotField showAll="0">
      <items count="15">
        <item x="8"/>
        <item x="10"/>
        <item x="11"/>
        <item x="9"/>
        <item x="7"/>
        <item x="2"/>
        <item x="6"/>
        <item x="5"/>
        <item x="0"/>
        <item x="12"/>
        <item x="1"/>
        <item x="3"/>
        <item x="4"/>
        <item x="13"/>
        <item t="default"/>
      </items>
    </pivotField>
    <pivotField dataField="1" numFmtId="1" showAll="0"/>
    <pivotField numFmtId="165" showAll="0"/>
    <pivotField numFmtId="165" showAll="0"/>
    <pivotField numFmtId="165" showAll="0"/>
    <pivotField numFmtId="165" showAll="0"/>
    <pivotField numFmtId="165" showAll="0"/>
    <pivotField numFmtId="167" showAll="0"/>
    <pivotField axis="axisRow" showAll="0">
      <items count="3">
        <item x="1"/>
        <item x="0"/>
        <item t="default"/>
      </items>
    </pivotField>
    <pivotField showAll="0">
      <items count="3">
        <item x="0"/>
        <item x="1"/>
        <item t="default"/>
      </items>
    </pivotField>
    <pivotField showAll="0"/>
  </pivotFields>
  <rowFields count="1">
    <field x="13"/>
  </rowFields>
  <rowItems count="3">
    <i>
      <x/>
    </i>
    <i>
      <x v="1"/>
    </i>
    <i t="grand">
      <x/>
    </i>
  </rowItems>
  <colItems count="1">
    <i/>
  </colItems>
  <dataFields count="1">
    <dataField name=" Quantity Sold" fld="6" baseField="13" baseItem="0" numFmtId="3"/>
  </dataFields>
  <formats count="1">
    <format dxfId="3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DC71C4-D36F-43D0-BCE9-FD5F3FAA3094}"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Country">
  <location ref="B7:C22" firstHeaderRow="1" firstDataRow="1" firstDataCol="1"/>
  <pivotFields count="16">
    <pivotField numFmtId="166" showAll="0"/>
    <pivotField showAll="0">
      <items count="9">
        <item x="4"/>
        <item x="6"/>
        <item x="1"/>
        <item x="0"/>
        <item x="3"/>
        <item x="7"/>
        <item x="5"/>
        <item x="2"/>
        <item t="default"/>
      </items>
    </pivotField>
    <pivotField showAll="0"/>
    <pivotField showAll="0"/>
    <pivotField showAll="0"/>
    <pivotField axis="axisRow" showAll="0" sortType="descending">
      <items count="15">
        <item x="13"/>
        <item x="4"/>
        <item x="3"/>
        <item x="1"/>
        <item x="12"/>
        <item x="0"/>
        <item x="5"/>
        <item x="6"/>
        <item x="2"/>
        <item x="7"/>
        <item x="9"/>
        <item x="11"/>
        <item x="10"/>
        <item x="8"/>
        <item t="default"/>
      </items>
      <autoSortScope>
        <pivotArea dataOnly="0" outline="0" fieldPosition="0">
          <references count="1">
            <reference field="4294967294" count="1" selected="0">
              <x v="0"/>
            </reference>
          </references>
        </pivotArea>
      </autoSortScope>
    </pivotField>
    <pivotField numFmtId="1" showAll="0"/>
    <pivotField numFmtId="165" showAll="0"/>
    <pivotField numFmtId="165" showAll="0"/>
    <pivotField dataField="1" numFmtId="165" showAll="0"/>
    <pivotField numFmtId="165" showAll="0"/>
    <pivotField numFmtId="165" showAll="0"/>
    <pivotField numFmtId="167" showAll="0"/>
    <pivotField showAll="0"/>
    <pivotField showAll="0"/>
    <pivotField showAll="0"/>
  </pivotFields>
  <rowFields count="1">
    <field x="5"/>
  </rowFields>
  <rowItems count="15">
    <i>
      <x v="3"/>
    </i>
    <i>
      <x v="2"/>
    </i>
    <i>
      <x v="6"/>
    </i>
    <i>
      <x v="4"/>
    </i>
    <i>
      <x/>
    </i>
    <i>
      <x v="1"/>
    </i>
    <i>
      <x v="8"/>
    </i>
    <i>
      <x v="10"/>
    </i>
    <i>
      <x v="5"/>
    </i>
    <i>
      <x v="7"/>
    </i>
    <i>
      <x v="13"/>
    </i>
    <i>
      <x v="11"/>
    </i>
    <i>
      <x v="12"/>
    </i>
    <i>
      <x v="9"/>
    </i>
    <i t="grand">
      <x/>
    </i>
  </rowItems>
  <colItems count="1">
    <i/>
  </colItems>
  <dataFields count="1">
    <dataField name=" Revenue" fld="9" baseField="5" baseItem="3"/>
  </dataFields>
  <formats count="1">
    <format dxfId="418">
      <pivotArea outline="0" collapsedLevelsAreSubtotals="1" fieldPosition="0"/>
    </format>
  </formats>
  <conditionalFormats count="1">
    <conditionalFormat priority="7">
      <pivotAreas count="1">
        <pivotArea type="data" collapsedLevelsAreSubtotals="1" fieldPosition="0">
          <references count="2">
            <reference field="4294967294" count="1" selected="0">
              <x v="0"/>
            </reference>
            <reference field="5" count="14">
              <x v="0"/>
              <x v="1"/>
              <x v="2"/>
              <x v="3"/>
              <x v="4"/>
              <x v="5"/>
              <x v="6"/>
              <x v="7"/>
              <x v="8"/>
              <x v="9"/>
              <x v="10"/>
              <x v="11"/>
              <x v="12"/>
              <x v="13"/>
            </reference>
          </references>
        </pivotArea>
      </pivotAreas>
    </conditionalFormat>
  </conditional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F3E9E6A-1B2E-4271-B764-395A8CE13F5B}"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F3" firstHeaderRow="0" firstDataRow="1" firstDataCol="0"/>
  <pivotFields count="16">
    <pivotField numFmtId="166" showAll="0"/>
    <pivotField showAll="0">
      <items count="9">
        <item x="4"/>
        <item x="6"/>
        <item x="1"/>
        <item x="0"/>
        <item x="3"/>
        <item x="7"/>
        <item x="5"/>
        <item x="2"/>
        <item t="default"/>
      </items>
    </pivotField>
    <pivotField showAll="0"/>
    <pivotField showAll="0"/>
    <pivotField showAll="0"/>
    <pivotField showAll="0">
      <items count="15">
        <item x="8"/>
        <item x="10"/>
        <item x="11"/>
        <item x="9"/>
        <item x="7"/>
        <item x="2"/>
        <item x="6"/>
        <item x="5"/>
        <item x="0"/>
        <item x="12"/>
        <item x="1"/>
        <item x="3"/>
        <item x="4"/>
        <item x="13"/>
        <item t="default"/>
      </items>
    </pivotField>
    <pivotField dataField="1" numFmtId="1" showAll="0"/>
    <pivotField numFmtId="165" showAll="0"/>
    <pivotField numFmtId="165" showAll="0"/>
    <pivotField dataField="1" numFmtId="165" showAll="0"/>
    <pivotField dataField="1" numFmtId="165" showAll="0"/>
    <pivotField dataField="1" numFmtId="165" showAll="0"/>
    <pivotField dataField="1" numFmtId="167" showAll="0"/>
    <pivotField showAll="0"/>
    <pivotField showAll="0"/>
    <pivotField showAll="0"/>
  </pivotFields>
  <rowItems count="1">
    <i/>
  </rowItems>
  <colFields count="1">
    <field x="-2"/>
  </colFields>
  <colItems count="5">
    <i>
      <x/>
    </i>
    <i i="1">
      <x v="1"/>
    </i>
    <i i="2">
      <x v="2"/>
    </i>
    <i i="3">
      <x v="3"/>
    </i>
    <i i="4">
      <x v="4"/>
    </i>
  </colItems>
  <dataFields count="5">
    <dataField name="Total Revenue" fld="9" baseField="0" baseItem="1" numFmtId="168"/>
    <dataField name="total Cost" fld="10" baseField="0" baseItem="1" numFmtId="168"/>
    <dataField name="Total Profit" fld="11" baseField="0" baseItem="2" numFmtId="168"/>
    <dataField name="Total Quantity Sold" fld="6" baseField="0" baseItem="3" numFmtId="3"/>
    <dataField name="Average Profit Margin" fld="12" subtotal="average" baseField="0" baseItem="1" numFmtId="10"/>
  </dataFields>
  <formats count="18">
    <format dxfId="400">
      <pivotArea outline="0" collapsedLevelsAreSubtotals="1" fieldPosition="0">
        <references count="1">
          <reference field="4294967294" count="1" selected="0">
            <x v="0"/>
          </reference>
        </references>
      </pivotArea>
    </format>
    <format dxfId="401">
      <pivotArea outline="0" collapsedLevelsAreSubtotals="1" fieldPosition="0">
        <references count="1">
          <reference field="4294967294" count="1" selected="0">
            <x v="2"/>
          </reference>
        </references>
      </pivotArea>
    </format>
    <format dxfId="402">
      <pivotArea outline="0" collapsedLevelsAreSubtotals="1" fieldPosition="0">
        <references count="1">
          <reference field="4294967294" count="1" selected="0">
            <x v="0"/>
          </reference>
        </references>
      </pivotArea>
    </format>
    <format dxfId="403">
      <pivotArea outline="0" collapsedLevelsAreSubtotals="1" fieldPosition="0">
        <references count="1">
          <reference field="4294967294" count="1" selected="0">
            <x v="2"/>
          </reference>
        </references>
      </pivotArea>
    </format>
    <format dxfId="404">
      <pivotArea outline="0" collapsedLevelsAreSubtotals="1" fieldPosition="0">
        <references count="1">
          <reference field="4294967294" count="1" selected="0">
            <x v="0"/>
          </reference>
        </references>
      </pivotArea>
    </format>
    <format dxfId="405">
      <pivotArea outline="0" collapsedLevelsAreSubtotals="1" fieldPosition="0">
        <references count="1">
          <reference field="4294967294" count="1" selected="0">
            <x v="2"/>
          </reference>
        </references>
      </pivotArea>
    </format>
    <format dxfId="406">
      <pivotArea outline="0" collapsedLevelsAreSubtotals="1" fieldPosition="0">
        <references count="1">
          <reference field="4294967294" count="1" selected="0">
            <x v="1"/>
          </reference>
        </references>
      </pivotArea>
    </format>
    <format dxfId="407">
      <pivotArea outline="0" collapsedLevelsAreSubtotals="1" fieldPosition="0">
        <references count="1">
          <reference field="4294967294" count="1" selected="0">
            <x v="1"/>
          </reference>
        </references>
      </pivotArea>
    </format>
    <format dxfId="408">
      <pivotArea outline="0" collapsedLevelsAreSubtotals="1" fieldPosition="0">
        <references count="1">
          <reference field="4294967294" count="1" selected="0">
            <x v="1"/>
          </reference>
        </references>
      </pivotArea>
    </format>
    <format dxfId="409">
      <pivotArea outline="0" collapsedLevelsAreSubtotals="1" fieldPosition="0">
        <references count="1">
          <reference field="4294967294" count="1" selected="0">
            <x v="3"/>
          </reference>
        </references>
      </pivotArea>
    </format>
    <format dxfId="410">
      <pivotArea outline="0" collapsedLevelsAreSubtotals="1" fieldPosition="0">
        <references count="1">
          <reference field="4294967294" count="1" selected="0">
            <x v="3"/>
          </reference>
        </references>
      </pivotArea>
    </format>
    <format dxfId="411">
      <pivotArea outline="0" collapsedLevelsAreSubtotals="1" fieldPosition="0">
        <references count="1">
          <reference field="4294967294" count="1" selected="0">
            <x v="3"/>
          </reference>
        </references>
      </pivotArea>
    </format>
    <format dxfId="412">
      <pivotArea outline="0" collapsedLevelsAreSubtotals="1" fieldPosition="0">
        <references count="1">
          <reference field="4294967294" count="1" selected="0">
            <x v="4"/>
          </reference>
        </references>
      </pivotArea>
    </format>
    <format dxfId="413">
      <pivotArea outline="0" collapsedLevelsAreSubtotals="1" fieldPosition="0">
        <references count="1">
          <reference field="4294967294" count="1" selected="0">
            <x v="4"/>
          </reference>
        </references>
      </pivotArea>
    </format>
    <format dxfId="414">
      <pivotArea outline="0" collapsedLevelsAreSubtotals="1" fieldPosition="0">
        <references count="1">
          <reference field="4294967294" count="1" selected="0">
            <x v="4"/>
          </reference>
        </references>
      </pivotArea>
    </format>
    <format dxfId="415">
      <pivotArea outline="0" fieldPosition="0">
        <references count="1">
          <reference field="4294967294" count="1">
            <x v="2"/>
          </reference>
        </references>
      </pivotArea>
    </format>
    <format dxfId="416">
      <pivotArea outline="0" fieldPosition="0">
        <references count="1">
          <reference field="4294967294" count="1">
            <x v="0"/>
          </reference>
        </references>
      </pivotArea>
    </format>
    <format dxfId="417">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C7719CA-5D8B-49D2-9E12-4BB931181567}"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roduct">
  <location ref="J7:K16" firstHeaderRow="1" firstDataRow="1" firstDataCol="1"/>
  <pivotFields count="16">
    <pivotField numFmtId="166" showAll="0"/>
    <pivotField axis="axisRow" showAll="0" sortType="descending">
      <items count="9">
        <item x="4"/>
        <item x="6"/>
        <item x="1"/>
        <item x="0"/>
        <item x="3"/>
        <item x="7"/>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x="8"/>
        <item x="10"/>
        <item x="11"/>
        <item x="9"/>
        <item x="7"/>
        <item x="2"/>
        <item x="6"/>
        <item x="5"/>
        <item x="0"/>
        <item x="12"/>
        <item x="1"/>
        <item x="3"/>
        <item x="4"/>
        <item x="13"/>
        <item t="default"/>
      </items>
    </pivotField>
    <pivotField numFmtId="1" showAll="0"/>
    <pivotField numFmtId="165" showAll="0"/>
    <pivotField numFmtId="165" showAll="0"/>
    <pivotField dataField="1" numFmtId="165" showAll="0"/>
    <pivotField numFmtId="165" showAll="0"/>
    <pivotField numFmtId="165" showAll="0"/>
    <pivotField numFmtId="167" showAll="0"/>
    <pivotField showAll="0"/>
    <pivotField showAll="0"/>
    <pivotField showAll="0"/>
  </pivotFields>
  <rowFields count="1">
    <field x="1"/>
  </rowFields>
  <rowItems count="9">
    <i>
      <x v="5"/>
    </i>
    <i>
      <x v="3"/>
    </i>
    <i>
      <x v="6"/>
    </i>
    <i>
      <x v="1"/>
    </i>
    <i>
      <x/>
    </i>
    <i>
      <x v="2"/>
    </i>
    <i>
      <x v="4"/>
    </i>
    <i>
      <x v="7"/>
    </i>
    <i t="grand">
      <x/>
    </i>
  </rowItems>
  <colItems count="1">
    <i/>
  </colItems>
  <dataFields count="1">
    <dataField name=" Revenue" fld="9" baseField="5" baseItem="0" numFmtId="165"/>
  </dataFields>
  <formats count="1">
    <format dxfId="398">
      <pivotArea outline="0" collapsedLevelsAreSubtotals="1" fieldPosition="0"/>
    </format>
  </formats>
  <conditionalFormats count="1">
    <conditionalFormat type="all" priority="2">
      <pivotAreas count="1">
        <pivotArea type="data" collapsedLevelsAreSubtotals="1" fieldPosition="0">
          <references count="2">
            <reference field="4294967294" count="1" selected="0">
              <x v="0"/>
            </reference>
            <reference field="1" count="8">
              <x v="0"/>
              <x v="1"/>
              <x v="2"/>
              <x v="3"/>
              <x v="4"/>
              <x v="5"/>
              <x v="6"/>
              <x v="7"/>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6D46762-F82B-4354-9977-5D21A0A047DD}" sourceName="Product">
  <pivotTables>
    <pivotTable tabId="7" name="PivotTable3"/>
    <pivotTable tabId="7" name="PivotTable11"/>
    <pivotTable tabId="7" name="PivotTable1"/>
    <pivotTable tabId="7" name="PivotTable10"/>
    <pivotTable tabId="7" name="PivotTable4"/>
    <pivotTable tabId="7" name="PivotTable5"/>
    <pivotTable tabId="7" name="PivotTable6"/>
    <pivotTable tabId="7" name="PivotTable7"/>
    <pivotTable tabId="7" name="PivotTable8"/>
    <pivotTable tabId="7" name="PivotTable9"/>
    <pivotTable tabId="7" name="PivotTable2"/>
  </pivotTables>
  <data>
    <tabular pivotCacheId="261829685">
      <items count="8">
        <i x="4" s="1"/>
        <i x="6" s="1"/>
        <i x="1" s="1"/>
        <i x="0" s="1"/>
        <i x="3" s="1"/>
        <i x="7" s="1"/>
        <i x="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E6A626B-9E0E-4ED0-962C-021F8A4813F0}" sourceName="Country">
  <pivotTables>
    <pivotTable tabId="7" name="PivotTable3"/>
    <pivotTable tabId="7" name="PivotTable11"/>
    <pivotTable tabId="7" name="PivotTable1"/>
    <pivotTable tabId="7" name="PivotTable10"/>
    <pivotTable tabId="7" name="PivotTable4"/>
    <pivotTable tabId="7" name="PivotTable5"/>
    <pivotTable tabId="7" name="PivotTable6"/>
    <pivotTable tabId="7" name="PivotTable7"/>
    <pivotTable tabId="7" name="PivotTable8"/>
    <pivotTable tabId="7" name="PivotTable9"/>
    <pivotTable tabId="7" name="PivotTable2"/>
  </pivotTables>
  <data>
    <tabular pivotCacheId="261829685">
      <items count="14">
        <i x="8" s="1"/>
        <i x="10" s="1"/>
        <i x="11" s="1"/>
        <i x="9" s="1"/>
        <i x="7" s="1"/>
        <i x="2" s="1"/>
        <i x="6" s="1"/>
        <i x="5" s="1"/>
        <i x="0" s="1"/>
        <i x="12" s="1"/>
        <i x="1" s="1"/>
        <i x="3" s="1"/>
        <i x="4"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5F97E7D-BF40-491D-9363-972D6B14A9C6}" cache="Slicer_Product" caption="Product" rowHeight="241300"/>
  <slicer name="Country" xr10:uid="{311443DD-F4FB-42BA-931E-020DC9CC3C50}" cache="Slicer_Country" caption="Count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3" xr10:uid="{9558E1D9-DE22-4AE7-83CF-9406E5671598}" cache="Slicer_Product" caption="Product" startItem="2" rowHeight="241300"/>
  <slicer name="Country 1" xr10:uid="{EEF58036-3930-46C1-82B2-6CF5CCCDC2F8}" cache="Slicer_Country" caption="Country"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C433C9-36E6-4933-938C-A1D19CCCE649}" name="Zen_Elite_Shoe_Sales" displayName="Zen_Elite_Shoe_Sales" ref="A1:P476" totalsRowShown="0" dataDxfId="446" tableBorderDxfId="445">
  <tableColumns count="16">
    <tableColumn id="1" xr3:uid="{735BD6B1-3764-42E5-A036-89218668FF19}" name="Date" dataDxfId="444"/>
    <tableColumn id="2" xr3:uid="{FD85BE22-8933-45C9-9C8A-EEF472B6B89B}" name="Product" dataDxfId="443"/>
    <tableColumn id="3" xr3:uid="{CE4A8D69-E91F-4F11-AE0A-E25523D64E60}" name="Category" dataDxfId="442"/>
    <tableColumn id="4" xr3:uid="{55A140AB-C43F-4C24-AA7E-7ECBF7727159}" name="Color" dataDxfId="441"/>
    <tableColumn id="5" xr3:uid="{5F698724-853C-44D6-BD08-2616BFF0057F}" name="Brand" dataDxfId="440"/>
    <tableColumn id="6" xr3:uid="{E87B4E29-B991-484E-88F6-A1273842CEC2}" name="Country" dataDxfId="439"/>
    <tableColumn id="7" xr3:uid="{3C39E588-5C12-4285-B113-9C6736D03032}" name="Quantity" dataDxfId="438"/>
    <tableColumn id="8" xr3:uid="{AFFBC95A-9729-43E5-BC81-C5881A61C04B}" name="Unit Cost" dataDxfId="437"/>
    <tableColumn id="9" xr3:uid="{4A1B573E-A658-485D-8ED7-6B4022739665}" name="Unit Price" dataDxfId="436"/>
    <tableColumn id="10" xr3:uid="{E4222D00-AB1B-4302-A341-4F0A6B09E521}" name="Revenue" dataDxfId="435">
      <calculatedColumnFormula>PRODUCT('Cleaned Data'!$G2,'Cleaned Data'!$I2)</calculatedColumnFormula>
    </tableColumn>
    <tableColumn id="11" xr3:uid="{C62610E7-5981-4B4A-B9C6-0ACF4E061C2F}" name=" Cost" dataDxfId="434">
      <calculatedColumnFormula>PRODUCT('Cleaned Data'!$G2,'Cleaned Data'!$H2)</calculatedColumnFormula>
    </tableColumn>
    <tableColumn id="12" xr3:uid="{5B560206-F6F4-4162-BD1E-FCE6186BD4F2}" name="Profit" dataDxfId="433">
      <calculatedColumnFormula>('Cleaned Data'!$J2-'Cleaned Data'!$K2)</calculatedColumnFormula>
    </tableColumn>
    <tableColumn id="13" xr3:uid="{9874055C-D866-4952-9C4B-B597AFF0BF0C}" name="Profit Margin" dataDxfId="432">
      <calculatedColumnFormula>('Cleaned Data'!$L2/'Cleaned Data'!$J2)</calculatedColumnFormula>
    </tableColumn>
    <tableColumn id="14" xr3:uid="{3E1C2722-150E-4EFF-8257-5DE1B5DE168A}" name="Sales Volume" dataDxfId="431">
      <calculatedColumnFormula>IF('Cleaned Data'!$G2&gt;10,"High-Volume","Low-Volume")</calculatedColumnFormula>
    </tableColumn>
    <tableColumn id="15" xr3:uid="{9DBFAD9F-E749-48FD-8D1E-E0D6A1CF1F81}" name="Product Category" dataDxfId="430">
      <calculatedColumnFormula>IF('Cleaned Data'!$I2&gt;=100000,"Premium","Standard")</calculatedColumnFormula>
    </tableColumn>
    <tableColumn id="16" xr3:uid="{08B00A6C-80EF-45BE-8095-30D388AC9CCA}" name="Performance level" dataDxfId="429">
      <calculatedColumnFormula>IF(Zen_Elite_Shoe_Sales[[#This Row],[Revenue]]&gt;=1000000,"Top Performer","Average Performer")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workbookViewId="0">
      <selection activeCell="B15" sqref="B15"/>
    </sheetView>
  </sheetViews>
  <sheetFormatPr defaultRowHeight="14.5" x14ac:dyDescent="0.35"/>
  <cols>
    <col min="1" max="1" width="12" customWidth="1"/>
    <col min="2" max="2" width="16" customWidth="1"/>
    <col min="3" max="3" width="14" customWidth="1"/>
    <col min="4" max="4" width="12" customWidth="1"/>
    <col min="5" max="5" width="18" customWidth="1"/>
    <col min="6" max="6" width="14" customWidth="1"/>
    <col min="7" max="9" width="13" customWidth="1"/>
  </cols>
  <sheetData>
    <row r="1" spans="1:9" ht="17.649999999999999" customHeight="1" x14ac:dyDescent="0.35">
      <c r="A1" s="2" t="s">
        <v>0</v>
      </c>
      <c r="B1" s="3" t="s">
        <v>1</v>
      </c>
      <c r="C1" s="3" t="s">
        <v>2</v>
      </c>
      <c r="D1" s="3" t="s">
        <v>3</v>
      </c>
      <c r="E1" s="3" t="s">
        <v>4</v>
      </c>
      <c r="F1" s="3" t="s">
        <v>5</v>
      </c>
      <c r="G1" s="3" t="s">
        <v>6</v>
      </c>
      <c r="H1" s="3" t="s">
        <v>7</v>
      </c>
      <c r="I1" s="3" t="s">
        <v>8</v>
      </c>
    </row>
    <row r="2" spans="1:9" x14ac:dyDescent="0.35">
      <c r="A2" s="4">
        <v>46023</v>
      </c>
      <c r="B2" s="5" t="s">
        <v>9</v>
      </c>
      <c r="C2" s="5" t="s">
        <v>10</v>
      </c>
      <c r="D2" s="5" t="s">
        <v>11</v>
      </c>
      <c r="E2" s="5" t="s">
        <v>12</v>
      </c>
      <c r="F2" s="5" t="s">
        <v>13</v>
      </c>
      <c r="G2" s="6">
        <v>3</v>
      </c>
      <c r="H2" s="7">
        <v>110000</v>
      </c>
      <c r="I2" s="7">
        <v>111800</v>
      </c>
    </row>
    <row r="3" spans="1:9" x14ac:dyDescent="0.35">
      <c r="A3" s="8">
        <v>46024</v>
      </c>
      <c r="B3" s="9" t="s">
        <v>14</v>
      </c>
      <c r="C3" s="9" t="s">
        <v>15</v>
      </c>
      <c r="D3" s="9" t="s">
        <v>16</v>
      </c>
      <c r="E3" s="9" t="s">
        <v>17</v>
      </c>
      <c r="F3" s="9" t="s">
        <v>18</v>
      </c>
      <c r="G3" s="10">
        <v>8</v>
      </c>
      <c r="H3" s="11">
        <v>67000</v>
      </c>
      <c r="I3" s="11">
        <v>73500</v>
      </c>
    </row>
    <row r="4" spans="1:9" x14ac:dyDescent="0.35">
      <c r="A4" s="4">
        <v>46025</v>
      </c>
      <c r="B4" s="5" t="s">
        <v>19</v>
      </c>
      <c r="C4" s="5" t="s">
        <v>20</v>
      </c>
      <c r="D4" s="5" t="s">
        <v>21</v>
      </c>
      <c r="E4" s="5" t="s">
        <v>22</v>
      </c>
      <c r="F4" s="5" t="s">
        <v>23</v>
      </c>
      <c r="G4" s="6">
        <v>7</v>
      </c>
      <c r="H4" s="7">
        <v>44000</v>
      </c>
      <c r="I4" s="7">
        <v>49000</v>
      </c>
    </row>
    <row r="5" spans="1:9" x14ac:dyDescent="0.35">
      <c r="A5" s="8">
        <v>46026</v>
      </c>
      <c r="B5" s="9" t="s">
        <v>24</v>
      </c>
      <c r="C5" s="9" t="s">
        <v>25</v>
      </c>
      <c r="D5" s="9" t="s">
        <v>26</v>
      </c>
      <c r="E5" s="9" t="s">
        <v>27</v>
      </c>
      <c r="F5" s="9" t="s">
        <v>28</v>
      </c>
      <c r="G5" s="10">
        <v>6</v>
      </c>
      <c r="H5" s="11">
        <v>73000</v>
      </c>
      <c r="I5" s="11">
        <v>76000</v>
      </c>
    </row>
    <row r="6" spans="1:9" x14ac:dyDescent="0.35">
      <c r="A6" s="4">
        <v>46027</v>
      </c>
      <c r="B6" s="5" t="s">
        <v>29</v>
      </c>
      <c r="C6" s="5" t="s">
        <v>30</v>
      </c>
      <c r="D6" s="5" t="s">
        <v>31</v>
      </c>
      <c r="E6" s="5" t="s">
        <v>32</v>
      </c>
      <c r="F6" s="5" t="s">
        <v>33</v>
      </c>
      <c r="G6" s="6">
        <v>14</v>
      </c>
      <c r="H6" s="7">
        <v>70000</v>
      </c>
      <c r="I6" s="7">
        <v>76500</v>
      </c>
    </row>
    <row r="7" spans="1:9" x14ac:dyDescent="0.35">
      <c r="A7" s="8">
        <v>46028</v>
      </c>
      <c r="B7" s="9" t="s">
        <v>34</v>
      </c>
      <c r="C7" s="9" t="s">
        <v>35</v>
      </c>
      <c r="D7" s="9" t="s">
        <v>11</v>
      </c>
      <c r="E7" s="9" t="s">
        <v>36</v>
      </c>
      <c r="F7" s="9" t="s">
        <v>37</v>
      </c>
      <c r="G7" s="10">
        <v>11</v>
      </c>
      <c r="H7" s="11">
        <v>118000</v>
      </c>
      <c r="I7" s="11">
        <v>119800</v>
      </c>
    </row>
    <row r="8" spans="1:9" x14ac:dyDescent="0.35">
      <c r="A8" s="4">
        <v>46029</v>
      </c>
      <c r="B8" s="5" t="s">
        <v>38</v>
      </c>
      <c r="C8" s="5" t="s">
        <v>10</v>
      </c>
      <c r="D8" s="5" t="s">
        <v>16</v>
      </c>
      <c r="E8" s="5" t="s">
        <v>12</v>
      </c>
      <c r="F8" s="5" t="s">
        <v>39</v>
      </c>
      <c r="G8" s="6">
        <v>7</v>
      </c>
      <c r="H8" s="7">
        <v>86000</v>
      </c>
      <c r="I8" s="7">
        <v>87800</v>
      </c>
    </row>
    <row r="9" spans="1:9" x14ac:dyDescent="0.35">
      <c r="A9" s="8">
        <v>46030</v>
      </c>
      <c r="B9" s="9" t="s">
        <v>40</v>
      </c>
      <c r="C9" s="9" t="s">
        <v>41</v>
      </c>
      <c r="D9" s="9" t="s">
        <v>21</v>
      </c>
      <c r="E9" s="9" t="s">
        <v>42</v>
      </c>
      <c r="F9" s="9" t="s">
        <v>43</v>
      </c>
      <c r="G9" s="10">
        <v>13</v>
      </c>
      <c r="H9" s="11">
        <v>124000</v>
      </c>
      <c r="I9" s="11">
        <v>125800</v>
      </c>
    </row>
    <row r="10" spans="1:9" x14ac:dyDescent="0.35">
      <c r="A10" s="4">
        <v>46031</v>
      </c>
      <c r="B10" s="5" t="s">
        <v>44</v>
      </c>
      <c r="C10" s="5" t="s">
        <v>35</v>
      </c>
      <c r="D10" s="5" t="s">
        <v>26</v>
      </c>
      <c r="E10" s="5" t="s">
        <v>36</v>
      </c>
      <c r="F10" s="5" t="s">
        <v>45</v>
      </c>
      <c r="G10" s="6">
        <v>8</v>
      </c>
      <c r="H10" s="7">
        <v>136000</v>
      </c>
      <c r="I10" s="7">
        <v>137800</v>
      </c>
    </row>
    <row r="11" spans="1:9" x14ac:dyDescent="0.35">
      <c r="A11" s="8">
        <v>46031</v>
      </c>
      <c r="B11" s="9" t="s">
        <v>44</v>
      </c>
      <c r="C11" s="9" t="s">
        <v>35</v>
      </c>
      <c r="D11" s="9" t="s">
        <v>26</v>
      </c>
      <c r="E11" s="9" t="s">
        <v>36</v>
      </c>
      <c r="F11" s="9" t="s">
        <v>45</v>
      </c>
      <c r="G11" s="10">
        <v>8</v>
      </c>
      <c r="H11" s="11">
        <v>136000</v>
      </c>
      <c r="I11" s="11">
        <v>137800</v>
      </c>
    </row>
    <row r="12" spans="1:9" x14ac:dyDescent="0.35">
      <c r="A12" s="4">
        <v>46032</v>
      </c>
      <c r="B12" s="5" t="s">
        <v>46</v>
      </c>
      <c r="C12" s="5" t="s">
        <v>25</v>
      </c>
      <c r="D12" s="5" t="s">
        <v>31</v>
      </c>
      <c r="E12" s="5" t="s">
        <v>47</v>
      </c>
      <c r="F12" s="5" t="s">
        <v>48</v>
      </c>
      <c r="G12" s="6">
        <v>12</v>
      </c>
      <c r="H12" s="7">
        <v>60000</v>
      </c>
      <c r="I12" s="7">
        <v>66000</v>
      </c>
    </row>
    <row r="13" spans="1:9" x14ac:dyDescent="0.35">
      <c r="A13" s="8">
        <v>46033</v>
      </c>
      <c r="B13" s="9" t="s">
        <v>49</v>
      </c>
      <c r="C13" s="9" t="s">
        <v>50</v>
      </c>
      <c r="D13" s="9" t="s">
        <v>11</v>
      </c>
      <c r="E13" s="9" t="s">
        <v>51</v>
      </c>
      <c r="F13" s="9" t="s">
        <v>52</v>
      </c>
      <c r="G13" s="10">
        <v>9</v>
      </c>
      <c r="H13" s="11">
        <v>43000</v>
      </c>
      <c r="I13" s="11">
        <v>48000</v>
      </c>
    </row>
    <row r="14" spans="1:9" x14ac:dyDescent="0.35">
      <c r="A14" s="4">
        <v>46034</v>
      </c>
      <c r="B14" s="5" t="s">
        <v>53</v>
      </c>
      <c r="C14" s="5" t="s">
        <v>54</v>
      </c>
      <c r="D14" s="5" t="s">
        <v>16</v>
      </c>
      <c r="E14" s="5" t="s">
        <v>55</v>
      </c>
      <c r="F14" s="5" t="s">
        <v>56</v>
      </c>
      <c r="G14" s="6">
        <v>6</v>
      </c>
      <c r="H14" s="7">
        <v>72000</v>
      </c>
      <c r="I14" s="7">
        <v>75000</v>
      </c>
    </row>
    <row r="15" spans="1:9" x14ac:dyDescent="0.35">
      <c r="A15" s="8">
        <v>46035</v>
      </c>
      <c r="B15" s="9" t="s">
        <v>57</v>
      </c>
      <c r="C15" s="9" t="s">
        <v>58</v>
      </c>
      <c r="D15" s="9" t="s">
        <v>21</v>
      </c>
      <c r="E15" s="9" t="s">
        <v>59</v>
      </c>
      <c r="F15" s="9" t="s">
        <v>60</v>
      </c>
      <c r="G15" s="10">
        <v>6</v>
      </c>
      <c r="H15" s="11">
        <v>58000</v>
      </c>
      <c r="I15" s="11">
        <v>64000</v>
      </c>
    </row>
    <row r="16" spans="1:9" x14ac:dyDescent="0.35">
      <c r="A16" s="4">
        <v>46036</v>
      </c>
      <c r="B16" s="5" t="s">
        <v>61</v>
      </c>
      <c r="C16" s="5" t="s">
        <v>41</v>
      </c>
      <c r="D16" s="5" t="s">
        <v>26</v>
      </c>
      <c r="E16" s="5" t="s">
        <v>62</v>
      </c>
      <c r="F16" s="5" t="s">
        <v>63</v>
      </c>
      <c r="G16" s="6">
        <v>3</v>
      </c>
      <c r="H16" s="7">
        <v>93000</v>
      </c>
      <c r="I16" s="7">
        <v>94800</v>
      </c>
    </row>
    <row r="17" spans="1:9" x14ac:dyDescent="0.35">
      <c r="A17" s="8">
        <v>46037</v>
      </c>
      <c r="B17" s="9" t="s">
        <v>64</v>
      </c>
      <c r="C17" s="9" t="s">
        <v>35</v>
      </c>
      <c r="D17" s="9" t="s">
        <v>31</v>
      </c>
      <c r="E17" s="9" t="s">
        <v>36</v>
      </c>
      <c r="F17" s="9" t="s">
        <v>13</v>
      </c>
      <c r="G17" s="10">
        <v>11</v>
      </c>
      <c r="H17" s="11">
        <v>96000</v>
      </c>
      <c r="I17" s="11">
        <v>97800</v>
      </c>
    </row>
    <row r="18" spans="1:9" x14ac:dyDescent="0.35">
      <c r="A18" s="4">
        <v>46038</v>
      </c>
      <c r="B18" s="5" t="s">
        <v>65</v>
      </c>
      <c r="C18" s="5" t="s">
        <v>10</v>
      </c>
      <c r="D18" s="5" t="s">
        <v>11</v>
      </c>
      <c r="E18" s="5" t="s">
        <v>27</v>
      </c>
      <c r="F18" s="5" t="s">
        <v>18</v>
      </c>
      <c r="G18" s="6">
        <v>7</v>
      </c>
      <c r="H18" s="7">
        <v>135000</v>
      </c>
      <c r="I18" s="7">
        <v>136800</v>
      </c>
    </row>
    <row r="19" spans="1:9" x14ac:dyDescent="0.35">
      <c r="A19" s="8">
        <v>46039</v>
      </c>
      <c r="B19" s="9" t="s">
        <v>66</v>
      </c>
      <c r="C19" s="9" t="s">
        <v>41</v>
      </c>
      <c r="D19" s="9" t="s">
        <v>16</v>
      </c>
      <c r="E19" s="9" t="s">
        <v>62</v>
      </c>
      <c r="F19" s="9" t="s">
        <v>23</v>
      </c>
      <c r="G19" s="10">
        <v>13</v>
      </c>
      <c r="H19" s="11">
        <v>105000</v>
      </c>
      <c r="I19" s="11">
        <v>106800</v>
      </c>
    </row>
    <row r="20" spans="1:9" x14ac:dyDescent="0.35">
      <c r="A20" s="4">
        <v>46040</v>
      </c>
      <c r="B20" s="5" t="s">
        <v>67</v>
      </c>
      <c r="C20" s="5" t="s">
        <v>54</v>
      </c>
      <c r="D20" s="5" t="s">
        <v>21</v>
      </c>
      <c r="E20" s="5" t="s">
        <v>68</v>
      </c>
      <c r="F20" s="5" t="s">
        <v>28</v>
      </c>
      <c r="G20" s="6">
        <v>11</v>
      </c>
      <c r="H20" s="7">
        <v>64000</v>
      </c>
      <c r="I20" s="7">
        <v>70500</v>
      </c>
    </row>
    <row r="21" spans="1:9" x14ac:dyDescent="0.35">
      <c r="A21" s="8">
        <v>46041</v>
      </c>
      <c r="B21" s="9" t="s">
        <v>69</v>
      </c>
      <c r="C21" s="9" t="s">
        <v>70</v>
      </c>
      <c r="D21" s="9" t="s">
        <v>26</v>
      </c>
      <c r="E21" s="9" t="s">
        <v>71</v>
      </c>
      <c r="F21" s="9" t="s">
        <v>33</v>
      </c>
      <c r="G21" s="10">
        <v>10</v>
      </c>
      <c r="H21" s="11">
        <v>53000</v>
      </c>
      <c r="I21" s="11">
        <v>59000</v>
      </c>
    </row>
    <row r="22" spans="1:9" x14ac:dyDescent="0.35">
      <c r="A22" s="4">
        <v>46042</v>
      </c>
      <c r="B22" s="5" t="s">
        <v>72</v>
      </c>
      <c r="C22" s="5" t="s">
        <v>15</v>
      </c>
      <c r="D22" s="5" t="s">
        <v>31</v>
      </c>
      <c r="E22" s="5" t="s">
        <v>42</v>
      </c>
      <c r="F22" s="5" t="s">
        <v>37</v>
      </c>
      <c r="G22" s="6">
        <v>14</v>
      </c>
      <c r="H22" s="7">
        <v>53000</v>
      </c>
      <c r="I22" s="7">
        <v>59000</v>
      </c>
    </row>
    <row r="23" spans="1:9" x14ac:dyDescent="0.35">
      <c r="A23" s="8">
        <v>46043</v>
      </c>
      <c r="B23" s="9" t="s">
        <v>73</v>
      </c>
      <c r="C23" s="9" t="s">
        <v>74</v>
      </c>
      <c r="D23" s="9" t="s">
        <v>11</v>
      </c>
      <c r="E23" s="9" t="s">
        <v>75</v>
      </c>
      <c r="F23" s="9" t="s">
        <v>39</v>
      </c>
      <c r="G23" s="10">
        <v>11</v>
      </c>
      <c r="H23" s="11">
        <v>57000</v>
      </c>
      <c r="I23" s="11">
        <v>63000</v>
      </c>
    </row>
    <row r="24" spans="1:9" x14ac:dyDescent="0.35">
      <c r="A24" s="4">
        <v>46044</v>
      </c>
      <c r="B24" s="5" t="s">
        <v>76</v>
      </c>
      <c r="C24" s="5" t="s">
        <v>10</v>
      </c>
      <c r="D24" s="5" t="s">
        <v>16</v>
      </c>
      <c r="E24" s="5" t="s">
        <v>12</v>
      </c>
      <c r="F24" s="5" t="s">
        <v>43</v>
      </c>
      <c r="G24" s="6">
        <v>14</v>
      </c>
      <c r="H24" s="7">
        <v>122000</v>
      </c>
      <c r="I24" s="7">
        <v>123800</v>
      </c>
    </row>
    <row r="25" spans="1:9" x14ac:dyDescent="0.35">
      <c r="A25" s="8">
        <v>46045</v>
      </c>
      <c r="B25" s="9" t="s">
        <v>77</v>
      </c>
      <c r="C25" s="9" t="s">
        <v>41</v>
      </c>
      <c r="D25" s="9" t="s">
        <v>21</v>
      </c>
      <c r="E25" s="9" t="s">
        <v>62</v>
      </c>
      <c r="F25" s="9" t="s">
        <v>45</v>
      </c>
      <c r="G25" s="10">
        <v>9</v>
      </c>
      <c r="H25" s="11">
        <v>113000</v>
      </c>
      <c r="I25" s="11">
        <v>114800</v>
      </c>
    </row>
    <row r="26" spans="1:9" x14ac:dyDescent="0.35">
      <c r="A26" s="4">
        <v>46046</v>
      </c>
      <c r="B26" s="5" t="s">
        <v>78</v>
      </c>
      <c r="C26" s="5" t="s">
        <v>35</v>
      </c>
      <c r="D26" s="5" t="s">
        <v>26</v>
      </c>
      <c r="E26" s="5" t="s">
        <v>55</v>
      </c>
      <c r="F26" s="5" t="s">
        <v>48</v>
      </c>
      <c r="G26" s="6">
        <v>9</v>
      </c>
      <c r="H26" s="7">
        <v>121000</v>
      </c>
      <c r="I26" s="7">
        <v>122800</v>
      </c>
    </row>
    <row r="27" spans="1:9" x14ac:dyDescent="0.35">
      <c r="A27" s="8">
        <v>46047</v>
      </c>
      <c r="B27" s="9" t="s">
        <v>9</v>
      </c>
      <c r="C27" s="9" t="s">
        <v>10</v>
      </c>
      <c r="D27" s="9" t="s">
        <v>31</v>
      </c>
      <c r="E27" s="9" t="s">
        <v>12</v>
      </c>
      <c r="F27" s="9" t="s">
        <v>52</v>
      </c>
      <c r="G27" s="10">
        <v>13</v>
      </c>
      <c r="H27" s="11">
        <v>114000</v>
      </c>
      <c r="I27" s="11">
        <v>115800</v>
      </c>
    </row>
    <row r="28" spans="1:9" x14ac:dyDescent="0.35">
      <c r="A28" s="4">
        <v>46048</v>
      </c>
      <c r="B28" s="5" t="s">
        <v>14</v>
      </c>
      <c r="C28" s="5" t="s">
        <v>15</v>
      </c>
      <c r="D28" s="5" t="s">
        <v>11</v>
      </c>
      <c r="E28" s="5" t="s">
        <v>17</v>
      </c>
      <c r="F28" s="5" t="s">
        <v>56</v>
      </c>
      <c r="G28" s="6">
        <v>4</v>
      </c>
      <c r="H28" s="7">
        <v>62000</v>
      </c>
      <c r="I28" s="7">
        <v>68500</v>
      </c>
    </row>
    <row r="29" spans="1:9" x14ac:dyDescent="0.35">
      <c r="A29" s="8">
        <v>46049</v>
      </c>
      <c r="B29" s="9" t="s">
        <v>19</v>
      </c>
      <c r="C29" s="9" t="s">
        <v>20</v>
      </c>
      <c r="D29" s="9" t="s">
        <v>16</v>
      </c>
      <c r="E29" s="9" t="s">
        <v>22</v>
      </c>
      <c r="F29" s="9" t="s">
        <v>60</v>
      </c>
      <c r="G29" s="10">
        <v>13</v>
      </c>
      <c r="H29" s="11">
        <v>47000</v>
      </c>
      <c r="I29" s="11">
        <v>52000</v>
      </c>
    </row>
    <row r="30" spans="1:9" x14ac:dyDescent="0.35">
      <c r="A30" s="4">
        <v>46050</v>
      </c>
      <c r="B30" s="5" t="s">
        <v>24</v>
      </c>
      <c r="C30" s="5" t="s">
        <v>25</v>
      </c>
      <c r="D30" s="5" t="s">
        <v>21</v>
      </c>
      <c r="E30" s="5" t="s">
        <v>27</v>
      </c>
      <c r="F30" s="5" t="s">
        <v>63</v>
      </c>
      <c r="G30" s="6">
        <v>12</v>
      </c>
      <c r="H30" s="7">
        <v>63000</v>
      </c>
      <c r="I30" s="7">
        <v>69500</v>
      </c>
    </row>
    <row r="31" spans="1:9" x14ac:dyDescent="0.35">
      <c r="A31" s="8">
        <v>46051</v>
      </c>
      <c r="B31" s="9" t="s">
        <v>29</v>
      </c>
      <c r="C31" s="9" t="s">
        <v>30</v>
      </c>
      <c r="D31" s="9" t="s">
        <v>26</v>
      </c>
      <c r="E31" s="9" t="s">
        <v>32</v>
      </c>
      <c r="F31" s="9" t="s">
        <v>13</v>
      </c>
      <c r="G31" s="10">
        <v>12</v>
      </c>
      <c r="H31" s="11">
        <v>58000</v>
      </c>
      <c r="I31" s="11">
        <v>64000</v>
      </c>
    </row>
    <row r="32" spans="1:9" x14ac:dyDescent="0.35">
      <c r="A32" s="4">
        <v>46052</v>
      </c>
      <c r="B32" s="5" t="s">
        <v>34</v>
      </c>
      <c r="C32" s="5" t="s">
        <v>35</v>
      </c>
      <c r="D32" s="5" t="s">
        <v>31</v>
      </c>
      <c r="E32" s="5" t="s">
        <v>36</v>
      </c>
      <c r="F32" s="5" t="s">
        <v>18</v>
      </c>
      <c r="G32" s="6">
        <v>3</v>
      </c>
      <c r="H32" s="7">
        <v>93000</v>
      </c>
      <c r="I32" s="7">
        <v>94800</v>
      </c>
    </row>
    <row r="33" spans="1:9" x14ac:dyDescent="0.35">
      <c r="A33" s="8">
        <v>46053</v>
      </c>
      <c r="B33" s="9" t="s">
        <v>38</v>
      </c>
      <c r="C33" s="9" t="s">
        <v>10</v>
      </c>
      <c r="D33" s="9" t="s">
        <v>11</v>
      </c>
      <c r="E33" s="9" t="s">
        <v>12</v>
      </c>
      <c r="F33" s="9" t="s">
        <v>23</v>
      </c>
      <c r="G33" s="10">
        <v>10</v>
      </c>
      <c r="H33" s="11">
        <v>94000</v>
      </c>
      <c r="I33" s="11">
        <v>95800</v>
      </c>
    </row>
    <row r="34" spans="1:9" x14ac:dyDescent="0.35">
      <c r="A34" s="4">
        <v>46054</v>
      </c>
      <c r="B34" s="5" t="s">
        <v>40</v>
      </c>
      <c r="C34" s="5" t="s">
        <v>41</v>
      </c>
      <c r="D34" s="5" t="s">
        <v>16</v>
      </c>
      <c r="E34" s="5" t="s">
        <v>42</v>
      </c>
      <c r="F34" s="5" t="s">
        <v>28</v>
      </c>
      <c r="G34" s="6">
        <v>8</v>
      </c>
      <c r="H34" s="7">
        <v>109000</v>
      </c>
      <c r="I34" s="7">
        <v>110800</v>
      </c>
    </row>
    <row r="35" spans="1:9" x14ac:dyDescent="0.35">
      <c r="A35" s="8">
        <v>46054</v>
      </c>
      <c r="B35" s="9" t="s">
        <v>40</v>
      </c>
      <c r="C35" s="9" t="s">
        <v>41</v>
      </c>
      <c r="D35" s="9" t="s">
        <v>16</v>
      </c>
      <c r="E35" s="9" t="s">
        <v>42</v>
      </c>
      <c r="F35" s="9" t="s">
        <v>28</v>
      </c>
      <c r="G35" s="10">
        <v>8</v>
      </c>
      <c r="H35" s="11">
        <v>109000</v>
      </c>
      <c r="I35" s="11">
        <v>110800</v>
      </c>
    </row>
    <row r="36" spans="1:9" x14ac:dyDescent="0.35">
      <c r="A36" s="4">
        <v>46055</v>
      </c>
      <c r="B36" s="5" t="s">
        <v>44</v>
      </c>
      <c r="C36" s="5" t="s">
        <v>35</v>
      </c>
      <c r="D36" s="5" t="s">
        <v>21</v>
      </c>
      <c r="E36" s="5" t="s">
        <v>36</v>
      </c>
      <c r="F36" s="5" t="s">
        <v>33</v>
      </c>
      <c r="G36" s="6">
        <v>3</v>
      </c>
      <c r="H36" s="7">
        <v>129000</v>
      </c>
      <c r="I36" s="7">
        <v>130800</v>
      </c>
    </row>
    <row r="37" spans="1:9" x14ac:dyDescent="0.35">
      <c r="A37" s="8">
        <v>46056</v>
      </c>
      <c r="B37" s="9" t="s">
        <v>46</v>
      </c>
      <c r="C37" s="9" t="s">
        <v>25</v>
      </c>
      <c r="D37" s="9" t="s">
        <v>26</v>
      </c>
      <c r="E37" s="9" t="s">
        <v>47</v>
      </c>
      <c r="F37" s="9" t="s">
        <v>37</v>
      </c>
      <c r="G37" s="10">
        <v>10</v>
      </c>
      <c r="H37" s="11">
        <v>69000</v>
      </c>
      <c r="I37" s="11">
        <v>75500</v>
      </c>
    </row>
    <row r="38" spans="1:9" x14ac:dyDescent="0.35">
      <c r="A38" s="4">
        <v>46057</v>
      </c>
      <c r="B38" s="5" t="s">
        <v>49</v>
      </c>
      <c r="C38" s="5" t="s">
        <v>50</v>
      </c>
      <c r="D38" s="5" t="s">
        <v>31</v>
      </c>
      <c r="E38" s="5" t="s">
        <v>51</v>
      </c>
      <c r="F38" s="5" t="s">
        <v>39</v>
      </c>
      <c r="G38" s="6">
        <v>4</v>
      </c>
      <c r="H38" s="7">
        <v>49000</v>
      </c>
      <c r="I38" s="7">
        <v>54000</v>
      </c>
    </row>
    <row r="39" spans="1:9" x14ac:dyDescent="0.35">
      <c r="A39" s="8">
        <v>46058</v>
      </c>
      <c r="B39" s="9" t="s">
        <v>53</v>
      </c>
      <c r="C39" s="9" t="s">
        <v>54</v>
      </c>
      <c r="D39" s="9" t="s">
        <v>11</v>
      </c>
      <c r="E39" s="9" t="s">
        <v>55</v>
      </c>
      <c r="F39" s="9" t="s">
        <v>43</v>
      </c>
      <c r="G39" s="10">
        <v>4</v>
      </c>
      <c r="H39" s="11">
        <v>59000</v>
      </c>
      <c r="I39" s="11">
        <v>65000</v>
      </c>
    </row>
    <row r="40" spans="1:9" x14ac:dyDescent="0.35">
      <c r="A40" s="4">
        <v>46059</v>
      </c>
      <c r="B40" s="5" t="s">
        <v>57</v>
      </c>
      <c r="C40" s="5" t="s">
        <v>58</v>
      </c>
      <c r="D40" s="5" t="s">
        <v>16</v>
      </c>
      <c r="E40" s="5" t="s">
        <v>59</v>
      </c>
      <c r="F40" s="5" t="s">
        <v>45</v>
      </c>
      <c r="G40" s="6">
        <v>5</v>
      </c>
      <c r="H40" s="7">
        <v>72000</v>
      </c>
      <c r="I40" s="7">
        <v>75000</v>
      </c>
    </row>
    <row r="41" spans="1:9" x14ac:dyDescent="0.35">
      <c r="A41" s="8">
        <v>46060</v>
      </c>
      <c r="B41" s="9" t="s">
        <v>61</v>
      </c>
      <c r="C41" s="9" t="s">
        <v>41</v>
      </c>
      <c r="D41" s="9" t="s">
        <v>21</v>
      </c>
      <c r="E41" s="9" t="s">
        <v>62</v>
      </c>
      <c r="F41" s="9" t="s">
        <v>48</v>
      </c>
      <c r="G41" s="10">
        <v>14</v>
      </c>
      <c r="H41" s="11">
        <v>120000</v>
      </c>
      <c r="I41" s="11">
        <v>121800</v>
      </c>
    </row>
    <row r="42" spans="1:9" x14ac:dyDescent="0.35">
      <c r="A42" s="4">
        <v>46061</v>
      </c>
      <c r="B42" s="5" t="s">
        <v>64</v>
      </c>
      <c r="C42" s="5" t="s">
        <v>35</v>
      </c>
      <c r="D42" s="5" t="s">
        <v>26</v>
      </c>
      <c r="E42" s="5" t="s">
        <v>36</v>
      </c>
      <c r="F42" s="5" t="s">
        <v>52</v>
      </c>
      <c r="G42" s="6">
        <v>8</v>
      </c>
      <c r="H42" s="7">
        <v>97000</v>
      </c>
      <c r="I42" s="7">
        <v>98800</v>
      </c>
    </row>
    <row r="43" spans="1:9" x14ac:dyDescent="0.35">
      <c r="A43" s="8">
        <v>46062</v>
      </c>
      <c r="B43" s="9" t="s">
        <v>65</v>
      </c>
      <c r="C43" s="9" t="s">
        <v>10</v>
      </c>
      <c r="D43" s="9" t="s">
        <v>31</v>
      </c>
      <c r="E43" s="9" t="s">
        <v>27</v>
      </c>
      <c r="F43" s="9" t="s">
        <v>56</v>
      </c>
      <c r="G43" s="10">
        <v>5</v>
      </c>
      <c r="H43" s="11">
        <v>122000</v>
      </c>
      <c r="I43" s="11">
        <v>123800</v>
      </c>
    </row>
    <row r="44" spans="1:9" x14ac:dyDescent="0.35">
      <c r="A44" s="4">
        <v>46062</v>
      </c>
      <c r="B44" s="5" t="s">
        <v>65</v>
      </c>
      <c r="C44" s="5" t="s">
        <v>10</v>
      </c>
      <c r="D44" s="5" t="s">
        <v>31</v>
      </c>
      <c r="E44" s="5" t="s">
        <v>27</v>
      </c>
      <c r="F44" s="5" t="s">
        <v>56</v>
      </c>
      <c r="G44" s="6">
        <v>5</v>
      </c>
      <c r="H44" s="7">
        <v>122000</v>
      </c>
      <c r="I44" s="7">
        <v>123800</v>
      </c>
    </row>
    <row r="45" spans="1:9" x14ac:dyDescent="0.35">
      <c r="A45" s="8">
        <v>46063</v>
      </c>
      <c r="B45" s="9" t="s">
        <v>66</v>
      </c>
      <c r="C45" s="9" t="s">
        <v>41</v>
      </c>
      <c r="D45" s="9" t="s">
        <v>11</v>
      </c>
      <c r="E45" s="9" t="s">
        <v>62</v>
      </c>
      <c r="F45" s="9" t="s">
        <v>60</v>
      </c>
      <c r="G45" s="10">
        <v>11</v>
      </c>
      <c r="H45" s="11">
        <v>108000</v>
      </c>
      <c r="I45" s="11">
        <v>109800</v>
      </c>
    </row>
    <row r="46" spans="1:9" x14ac:dyDescent="0.35">
      <c r="A46" s="4">
        <v>46064</v>
      </c>
      <c r="B46" s="5" t="s">
        <v>67</v>
      </c>
      <c r="C46" s="5" t="s">
        <v>54</v>
      </c>
      <c r="D46" s="5" t="s">
        <v>16</v>
      </c>
      <c r="E46" s="5" t="s">
        <v>68</v>
      </c>
      <c r="F46" s="5" t="s">
        <v>63</v>
      </c>
      <c r="G46" s="6">
        <v>13</v>
      </c>
      <c r="H46" s="7">
        <v>65000</v>
      </c>
      <c r="I46" s="7">
        <v>71500</v>
      </c>
    </row>
    <row r="47" spans="1:9" x14ac:dyDescent="0.35">
      <c r="A47" s="8">
        <v>46065</v>
      </c>
      <c r="B47" s="9" t="s">
        <v>69</v>
      </c>
      <c r="C47" s="9" t="s">
        <v>70</v>
      </c>
      <c r="D47" s="9" t="s">
        <v>21</v>
      </c>
      <c r="E47" s="9" t="s">
        <v>71</v>
      </c>
      <c r="F47" s="9" t="s">
        <v>13</v>
      </c>
      <c r="G47" s="10">
        <v>7</v>
      </c>
      <c r="H47" s="11">
        <v>48000</v>
      </c>
      <c r="I47" s="11">
        <v>53000</v>
      </c>
    </row>
    <row r="48" spans="1:9" x14ac:dyDescent="0.35">
      <c r="A48" s="4">
        <v>46066</v>
      </c>
      <c r="B48" s="5" t="s">
        <v>72</v>
      </c>
      <c r="C48" s="5" t="s">
        <v>15</v>
      </c>
      <c r="D48" s="5" t="s">
        <v>26</v>
      </c>
      <c r="E48" s="5" t="s">
        <v>42</v>
      </c>
      <c r="F48" s="5" t="s">
        <v>18</v>
      </c>
      <c r="G48" s="6">
        <v>7</v>
      </c>
      <c r="H48" s="7">
        <v>71000</v>
      </c>
      <c r="I48" s="7">
        <v>74000</v>
      </c>
    </row>
    <row r="49" spans="1:9" x14ac:dyDescent="0.35">
      <c r="A49" s="8">
        <v>46067</v>
      </c>
      <c r="B49" s="9" t="s">
        <v>73</v>
      </c>
      <c r="C49" s="9" t="s">
        <v>74</v>
      </c>
      <c r="D49" s="9" t="s">
        <v>31</v>
      </c>
      <c r="E49" s="9" t="s">
        <v>75</v>
      </c>
      <c r="F49" s="9" t="s">
        <v>23</v>
      </c>
      <c r="G49" s="10">
        <v>9</v>
      </c>
      <c r="H49" s="11">
        <v>62000</v>
      </c>
      <c r="I49" s="11">
        <v>68500</v>
      </c>
    </row>
    <row r="50" spans="1:9" x14ac:dyDescent="0.35">
      <c r="A50" s="4">
        <v>46068</v>
      </c>
      <c r="B50" s="5" t="s">
        <v>76</v>
      </c>
      <c r="C50" s="5" t="s">
        <v>10</v>
      </c>
      <c r="D50" s="5" t="s">
        <v>11</v>
      </c>
      <c r="E50" s="5" t="s">
        <v>12</v>
      </c>
      <c r="F50" s="5" t="s">
        <v>28</v>
      </c>
      <c r="G50" s="6">
        <v>8</v>
      </c>
      <c r="H50" s="7">
        <v>101000</v>
      </c>
      <c r="I50" s="7">
        <v>102800</v>
      </c>
    </row>
    <row r="51" spans="1:9" x14ac:dyDescent="0.35">
      <c r="A51" s="8">
        <v>46068</v>
      </c>
      <c r="B51" s="9" t="s">
        <v>76</v>
      </c>
      <c r="C51" s="9" t="s">
        <v>10</v>
      </c>
      <c r="D51" s="9" t="s">
        <v>11</v>
      </c>
      <c r="E51" s="9" t="s">
        <v>12</v>
      </c>
      <c r="F51" s="9" t="s">
        <v>28</v>
      </c>
      <c r="G51" s="10">
        <v>8</v>
      </c>
      <c r="H51" s="11">
        <v>101000</v>
      </c>
      <c r="I51" s="11">
        <v>102800</v>
      </c>
    </row>
    <row r="52" spans="1:9" x14ac:dyDescent="0.35">
      <c r="A52" s="4">
        <v>46069</v>
      </c>
      <c r="B52" s="5" t="s">
        <v>77</v>
      </c>
      <c r="C52" s="5" t="s">
        <v>41</v>
      </c>
      <c r="D52" s="5" t="s">
        <v>16</v>
      </c>
      <c r="E52" s="5" t="s">
        <v>62</v>
      </c>
      <c r="F52" s="5" t="s">
        <v>33</v>
      </c>
      <c r="G52" s="6">
        <v>3</v>
      </c>
      <c r="H52" s="7">
        <v>104000</v>
      </c>
      <c r="I52" s="7">
        <v>105800</v>
      </c>
    </row>
    <row r="53" spans="1:9" x14ac:dyDescent="0.35">
      <c r="A53" s="8">
        <v>46070</v>
      </c>
      <c r="B53" s="9" t="s">
        <v>78</v>
      </c>
      <c r="C53" s="9" t="s">
        <v>35</v>
      </c>
      <c r="D53" s="9" t="s">
        <v>21</v>
      </c>
      <c r="E53" s="9" t="s">
        <v>55</v>
      </c>
      <c r="F53" s="9" t="s">
        <v>37</v>
      </c>
      <c r="G53" s="10">
        <v>14</v>
      </c>
      <c r="H53" s="11">
        <v>119000</v>
      </c>
      <c r="I53" s="11">
        <v>120800</v>
      </c>
    </row>
    <row r="54" spans="1:9" x14ac:dyDescent="0.35">
      <c r="A54" s="4">
        <v>46071</v>
      </c>
      <c r="B54" s="5" t="s">
        <v>9</v>
      </c>
      <c r="C54" s="5" t="s">
        <v>10</v>
      </c>
      <c r="D54" s="5" t="s">
        <v>26</v>
      </c>
      <c r="E54" s="5" t="s">
        <v>12</v>
      </c>
      <c r="F54" s="5" t="s">
        <v>39</v>
      </c>
      <c r="G54" s="6">
        <v>14</v>
      </c>
      <c r="H54" s="7">
        <v>121000</v>
      </c>
      <c r="I54" s="7">
        <v>122800</v>
      </c>
    </row>
    <row r="55" spans="1:9" x14ac:dyDescent="0.35">
      <c r="A55" s="8">
        <v>46072</v>
      </c>
      <c r="B55" s="9" t="s">
        <v>14</v>
      </c>
      <c r="C55" s="9" t="s">
        <v>15</v>
      </c>
      <c r="D55" s="9" t="s">
        <v>31</v>
      </c>
      <c r="E55" s="9" t="s">
        <v>17</v>
      </c>
      <c r="F55" s="9" t="s">
        <v>43</v>
      </c>
      <c r="G55" s="10">
        <v>3</v>
      </c>
      <c r="H55" s="11">
        <v>69000</v>
      </c>
      <c r="I55" s="11">
        <v>75500</v>
      </c>
    </row>
    <row r="56" spans="1:9" x14ac:dyDescent="0.35">
      <c r="A56" s="4">
        <v>46073</v>
      </c>
      <c r="B56" s="5" t="s">
        <v>19</v>
      </c>
      <c r="C56" s="5" t="s">
        <v>20</v>
      </c>
      <c r="D56" s="5" t="s">
        <v>11</v>
      </c>
      <c r="E56" s="5" t="s">
        <v>22</v>
      </c>
      <c r="F56" s="5" t="s">
        <v>45</v>
      </c>
      <c r="G56" s="6">
        <v>14</v>
      </c>
      <c r="H56" s="7">
        <v>48000</v>
      </c>
      <c r="I56" s="7">
        <v>53000</v>
      </c>
    </row>
    <row r="57" spans="1:9" x14ac:dyDescent="0.35">
      <c r="A57" s="8">
        <v>46074</v>
      </c>
      <c r="B57" s="9" t="s">
        <v>24</v>
      </c>
      <c r="C57" s="9" t="s">
        <v>25</v>
      </c>
      <c r="D57" s="9" t="s">
        <v>16</v>
      </c>
      <c r="E57" s="9" t="s">
        <v>27</v>
      </c>
      <c r="F57" s="9" t="s">
        <v>48</v>
      </c>
      <c r="G57" s="10">
        <v>6</v>
      </c>
      <c r="H57" s="11">
        <v>70000</v>
      </c>
      <c r="I57" s="11">
        <v>76500</v>
      </c>
    </row>
    <row r="58" spans="1:9" x14ac:dyDescent="0.35">
      <c r="A58" s="4">
        <v>46075</v>
      </c>
      <c r="B58" s="5" t="s">
        <v>29</v>
      </c>
      <c r="C58" s="5" t="s">
        <v>30</v>
      </c>
      <c r="D58" s="5" t="s">
        <v>21</v>
      </c>
      <c r="E58" s="5" t="s">
        <v>32</v>
      </c>
      <c r="F58" s="5" t="s">
        <v>52</v>
      </c>
      <c r="G58" s="6">
        <v>7</v>
      </c>
      <c r="H58" s="7">
        <v>76000</v>
      </c>
      <c r="I58" s="7">
        <v>79000</v>
      </c>
    </row>
    <row r="59" spans="1:9" x14ac:dyDescent="0.35">
      <c r="A59" s="8">
        <v>46076</v>
      </c>
      <c r="B59" s="9" t="s">
        <v>34</v>
      </c>
      <c r="C59" s="9" t="s">
        <v>35</v>
      </c>
      <c r="D59" s="9" t="s">
        <v>26</v>
      </c>
      <c r="E59" s="9" t="s">
        <v>36</v>
      </c>
      <c r="F59" s="9" t="s">
        <v>56</v>
      </c>
      <c r="G59" s="10">
        <v>15</v>
      </c>
      <c r="H59" s="11">
        <v>112000</v>
      </c>
      <c r="I59" s="11">
        <v>113800</v>
      </c>
    </row>
    <row r="60" spans="1:9" x14ac:dyDescent="0.35">
      <c r="A60" s="4">
        <v>46077</v>
      </c>
      <c r="B60" s="5" t="s">
        <v>38</v>
      </c>
      <c r="C60" s="5" t="s">
        <v>10</v>
      </c>
      <c r="D60" s="5" t="s">
        <v>31</v>
      </c>
      <c r="E60" s="5" t="s">
        <v>12</v>
      </c>
      <c r="F60" s="5" t="s">
        <v>60</v>
      </c>
      <c r="G60" s="6">
        <v>5</v>
      </c>
      <c r="H60" s="7">
        <v>101000</v>
      </c>
      <c r="I60" s="7">
        <v>102800</v>
      </c>
    </row>
    <row r="61" spans="1:9" x14ac:dyDescent="0.35">
      <c r="A61" s="8">
        <v>46078</v>
      </c>
      <c r="B61" s="9" t="s">
        <v>40</v>
      </c>
      <c r="C61" s="9" t="s">
        <v>41</v>
      </c>
      <c r="D61" s="9" t="s">
        <v>11</v>
      </c>
      <c r="E61" s="9" t="s">
        <v>42</v>
      </c>
      <c r="F61" s="9" t="s">
        <v>63</v>
      </c>
      <c r="G61" s="10">
        <v>12</v>
      </c>
      <c r="H61" s="11">
        <v>138000</v>
      </c>
      <c r="I61" s="11">
        <v>139800</v>
      </c>
    </row>
    <row r="62" spans="1:9" x14ac:dyDescent="0.35">
      <c r="A62" s="4">
        <v>46079</v>
      </c>
      <c r="B62" s="5" t="s">
        <v>44</v>
      </c>
      <c r="C62" s="5" t="s">
        <v>35</v>
      </c>
      <c r="D62" s="5" t="s">
        <v>16</v>
      </c>
      <c r="E62" s="5" t="s">
        <v>36</v>
      </c>
      <c r="F62" s="5" t="s">
        <v>13</v>
      </c>
      <c r="G62" s="6">
        <v>7</v>
      </c>
      <c r="H62" s="7">
        <v>132000</v>
      </c>
      <c r="I62" s="7">
        <v>133800</v>
      </c>
    </row>
    <row r="63" spans="1:9" x14ac:dyDescent="0.35">
      <c r="A63" s="8">
        <v>46080</v>
      </c>
      <c r="B63" s="9" t="s">
        <v>46</v>
      </c>
      <c r="C63" s="9" t="s">
        <v>25</v>
      </c>
      <c r="D63" s="9" t="s">
        <v>21</v>
      </c>
      <c r="E63" s="9" t="s">
        <v>47</v>
      </c>
      <c r="F63" s="9" t="s">
        <v>18</v>
      </c>
      <c r="G63" s="10">
        <v>13</v>
      </c>
      <c r="H63" s="11">
        <v>66000</v>
      </c>
      <c r="I63" s="11">
        <v>72500</v>
      </c>
    </row>
    <row r="64" spans="1:9" x14ac:dyDescent="0.35">
      <c r="A64" s="4">
        <v>46081</v>
      </c>
      <c r="B64" s="5" t="s">
        <v>49</v>
      </c>
      <c r="C64" s="5" t="s">
        <v>50</v>
      </c>
      <c r="D64" s="5" t="s">
        <v>26</v>
      </c>
      <c r="E64" s="5" t="s">
        <v>51</v>
      </c>
      <c r="F64" s="5" t="s">
        <v>23</v>
      </c>
      <c r="G64" s="6">
        <v>5</v>
      </c>
      <c r="H64" s="7">
        <v>40000</v>
      </c>
      <c r="I64" s="7">
        <v>45000</v>
      </c>
    </row>
    <row r="65" spans="1:9" x14ac:dyDescent="0.35">
      <c r="A65" s="8">
        <v>46082</v>
      </c>
      <c r="B65" s="9" t="s">
        <v>53</v>
      </c>
      <c r="C65" s="9" t="s">
        <v>54</v>
      </c>
      <c r="D65" s="9" t="s">
        <v>31</v>
      </c>
      <c r="E65" s="9" t="s">
        <v>55</v>
      </c>
      <c r="F65" s="9" t="s">
        <v>28</v>
      </c>
      <c r="G65" s="10">
        <v>13</v>
      </c>
      <c r="H65" s="11">
        <v>60000</v>
      </c>
      <c r="I65" s="11">
        <v>66000</v>
      </c>
    </row>
    <row r="66" spans="1:9" x14ac:dyDescent="0.35">
      <c r="A66" s="4">
        <v>46083</v>
      </c>
      <c r="B66" s="5" t="s">
        <v>57</v>
      </c>
      <c r="C66" s="5" t="s">
        <v>58</v>
      </c>
      <c r="D66" s="5" t="s">
        <v>11</v>
      </c>
      <c r="E66" s="5" t="s">
        <v>59</v>
      </c>
      <c r="F66" s="5" t="s">
        <v>33</v>
      </c>
      <c r="G66" s="6">
        <v>15</v>
      </c>
      <c r="H66" s="7">
        <v>71000</v>
      </c>
      <c r="I66" s="7">
        <v>74000</v>
      </c>
    </row>
    <row r="67" spans="1:9" x14ac:dyDescent="0.35">
      <c r="A67" s="8">
        <v>46084</v>
      </c>
      <c r="B67" s="9" t="s">
        <v>61</v>
      </c>
      <c r="C67" s="9" t="s">
        <v>41</v>
      </c>
      <c r="D67" s="9" t="s">
        <v>16</v>
      </c>
      <c r="E67" s="9" t="s">
        <v>62</v>
      </c>
      <c r="F67" s="9" t="s">
        <v>37</v>
      </c>
      <c r="G67" s="10">
        <v>11</v>
      </c>
      <c r="H67" s="11">
        <v>108000</v>
      </c>
      <c r="I67" s="11">
        <v>109800</v>
      </c>
    </row>
    <row r="68" spans="1:9" x14ac:dyDescent="0.35">
      <c r="A68" s="4">
        <v>46085</v>
      </c>
      <c r="B68" s="5" t="s">
        <v>64</v>
      </c>
      <c r="C68" s="5" t="s">
        <v>35</v>
      </c>
      <c r="D68" s="5" t="s">
        <v>21</v>
      </c>
      <c r="E68" s="5" t="s">
        <v>36</v>
      </c>
      <c r="F68" s="5" t="s">
        <v>39</v>
      </c>
      <c r="G68" s="6">
        <v>11</v>
      </c>
      <c r="H68" s="7">
        <v>110000</v>
      </c>
      <c r="I68" s="7">
        <v>111800</v>
      </c>
    </row>
    <row r="69" spans="1:9" x14ac:dyDescent="0.35">
      <c r="A69" s="8">
        <v>46086</v>
      </c>
      <c r="B69" s="9" t="s">
        <v>65</v>
      </c>
      <c r="C69" s="9" t="s">
        <v>10</v>
      </c>
      <c r="D69" s="9" t="s">
        <v>26</v>
      </c>
      <c r="E69" s="9" t="s">
        <v>27</v>
      </c>
      <c r="F69" s="9" t="s">
        <v>43</v>
      </c>
      <c r="G69" s="10">
        <v>7</v>
      </c>
      <c r="H69" s="11">
        <v>135000</v>
      </c>
      <c r="I69" s="11">
        <v>136800</v>
      </c>
    </row>
    <row r="70" spans="1:9" x14ac:dyDescent="0.35">
      <c r="A70" s="4">
        <v>46087</v>
      </c>
      <c r="B70" s="5" t="s">
        <v>66</v>
      </c>
      <c r="C70" s="5" t="s">
        <v>41</v>
      </c>
      <c r="D70" s="5" t="s">
        <v>31</v>
      </c>
      <c r="E70" s="5" t="s">
        <v>62</v>
      </c>
      <c r="F70" s="5" t="s">
        <v>45</v>
      </c>
      <c r="G70" s="6">
        <v>8</v>
      </c>
      <c r="H70" s="7">
        <v>133000</v>
      </c>
      <c r="I70" s="7">
        <v>134800</v>
      </c>
    </row>
    <row r="71" spans="1:9" x14ac:dyDescent="0.35">
      <c r="A71" s="8">
        <v>46088</v>
      </c>
      <c r="B71" s="9" t="s">
        <v>67</v>
      </c>
      <c r="C71" s="9" t="s">
        <v>54</v>
      </c>
      <c r="D71" s="9" t="s">
        <v>11</v>
      </c>
      <c r="E71" s="9" t="s">
        <v>68</v>
      </c>
      <c r="F71" s="9" t="s">
        <v>48</v>
      </c>
      <c r="G71" s="10">
        <v>7</v>
      </c>
      <c r="H71" s="11">
        <v>52000</v>
      </c>
      <c r="I71" s="11">
        <v>58000</v>
      </c>
    </row>
    <row r="72" spans="1:9" x14ac:dyDescent="0.35">
      <c r="A72" s="4">
        <v>46089</v>
      </c>
      <c r="B72" s="5" t="s">
        <v>69</v>
      </c>
      <c r="C72" s="5" t="s">
        <v>70</v>
      </c>
      <c r="D72" s="5" t="s">
        <v>16</v>
      </c>
      <c r="E72" s="5" t="s">
        <v>71</v>
      </c>
      <c r="F72" s="5" t="s">
        <v>52</v>
      </c>
      <c r="G72" s="6">
        <v>5</v>
      </c>
      <c r="H72" s="7">
        <v>43000</v>
      </c>
      <c r="I72" s="7">
        <v>48000</v>
      </c>
    </row>
    <row r="73" spans="1:9" x14ac:dyDescent="0.35">
      <c r="A73" s="8">
        <v>46090</v>
      </c>
      <c r="B73" s="9" t="s">
        <v>72</v>
      </c>
      <c r="C73" s="9" t="s">
        <v>15</v>
      </c>
      <c r="D73" s="9" t="s">
        <v>21</v>
      </c>
      <c r="E73" s="9" t="s">
        <v>42</v>
      </c>
      <c r="F73" s="9" t="s">
        <v>56</v>
      </c>
      <c r="G73" s="10">
        <v>14</v>
      </c>
      <c r="H73" s="11">
        <v>54000</v>
      </c>
      <c r="I73" s="11">
        <v>60000</v>
      </c>
    </row>
    <row r="74" spans="1:9" x14ac:dyDescent="0.35">
      <c r="A74" s="4">
        <v>46091</v>
      </c>
      <c r="B74" s="5" t="s">
        <v>73</v>
      </c>
      <c r="C74" s="5" t="s">
        <v>74</v>
      </c>
      <c r="D74" s="5" t="s">
        <v>26</v>
      </c>
      <c r="E74" s="5" t="s">
        <v>75</v>
      </c>
      <c r="F74" s="5" t="s">
        <v>60</v>
      </c>
      <c r="G74" s="6">
        <v>11</v>
      </c>
      <c r="H74" s="7">
        <v>74000</v>
      </c>
      <c r="I74" s="7">
        <v>77000</v>
      </c>
    </row>
    <row r="75" spans="1:9" x14ac:dyDescent="0.35">
      <c r="A75" s="8">
        <v>46092</v>
      </c>
      <c r="B75" s="9" t="s">
        <v>76</v>
      </c>
      <c r="C75" s="9" t="s">
        <v>10</v>
      </c>
      <c r="D75" s="9" t="s">
        <v>31</v>
      </c>
      <c r="E75" s="9" t="s">
        <v>12</v>
      </c>
      <c r="F75" s="9" t="s">
        <v>63</v>
      </c>
      <c r="G75" s="10">
        <v>11</v>
      </c>
      <c r="H75" s="11">
        <v>89000</v>
      </c>
      <c r="I75" s="11">
        <v>90800</v>
      </c>
    </row>
    <row r="76" spans="1:9" x14ac:dyDescent="0.35">
      <c r="A76" s="4">
        <v>46093</v>
      </c>
      <c r="B76" s="5" t="s">
        <v>77</v>
      </c>
      <c r="C76" s="5" t="s">
        <v>41</v>
      </c>
      <c r="D76" s="5" t="s">
        <v>11</v>
      </c>
      <c r="E76" s="5" t="s">
        <v>62</v>
      </c>
      <c r="F76" s="5" t="s">
        <v>13</v>
      </c>
      <c r="G76" s="6">
        <v>4</v>
      </c>
      <c r="H76" s="7">
        <v>115000</v>
      </c>
      <c r="I76" s="7">
        <v>116800</v>
      </c>
    </row>
    <row r="77" spans="1:9" x14ac:dyDescent="0.35">
      <c r="A77" s="8">
        <v>46094</v>
      </c>
      <c r="B77" s="9" t="s">
        <v>78</v>
      </c>
      <c r="C77" s="9" t="s">
        <v>35</v>
      </c>
      <c r="D77" s="9" t="s">
        <v>16</v>
      </c>
      <c r="E77" s="9" t="s">
        <v>55</v>
      </c>
      <c r="F77" s="9" t="s">
        <v>18</v>
      </c>
      <c r="G77" s="10">
        <v>4</v>
      </c>
      <c r="H77" s="11">
        <v>125000</v>
      </c>
      <c r="I77" s="11">
        <v>126800</v>
      </c>
    </row>
    <row r="78" spans="1:9" x14ac:dyDescent="0.35">
      <c r="A78" s="4">
        <v>46095</v>
      </c>
      <c r="B78" s="5" t="s">
        <v>9</v>
      </c>
      <c r="C78" s="5" t="s">
        <v>10</v>
      </c>
      <c r="D78" s="5" t="s">
        <v>21</v>
      </c>
      <c r="E78" s="5" t="s">
        <v>12</v>
      </c>
      <c r="F78" s="5" t="s">
        <v>23</v>
      </c>
      <c r="G78" s="6">
        <v>9</v>
      </c>
      <c r="H78" s="7">
        <v>100000</v>
      </c>
      <c r="I78" s="7">
        <v>101800</v>
      </c>
    </row>
    <row r="79" spans="1:9" x14ac:dyDescent="0.35">
      <c r="A79" s="8">
        <v>46096</v>
      </c>
      <c r="B79" s="9" t="s">
        <v>14</v>
      </c>
      <c r="C79" s="9" t="s">
        <v>15</v>
      </c>
      <c r="D79" s="9" t="s">
        <v>26</v>
      </c>
      <c r="E79" s="9" t="s">
        <v>17</v>
      </c>
      <c r="F79" s="9" t="s">
        <v>28</v>
      </c>
      <c r="G79" s="10">
        <v>10</v>
      </c>
      <c r="H79" s="11">
        <v>69000</v>
      </c>
      <c r="I79" s="11">
        <v>75500</v>
      </c>
    </row>
    <row r="80" spans="1:9" x14ac:dyDescent="0.35">
      <c r="A80" s="4">
        <v>46097</v>
      </c>
      <c r="B80" s="5" t="s">
        <v>19</v>
      </c>
      <c r="C80" s="5" t="s">
        <v>20</v>
      </c>
      <c r="D80" s="5" t="s">
        <v>31</v>
      </c>
      <c r="E80" s="5" t="s">
        <v>22</v>
      </c>
      <c r="F80" s="5" t="s">
        <v>33</v>
      </c>
      <c r="G80" s="6">
        <v>6</v>
      </c>
      <c r="H80" s="7">
        <v>41000</v>
      </c>
      <c r="I80" s="7">
        <v>46000</v>
      </c>
    </row>
    <row r="81" spans="1:9" x14ac:dyDescent="0.35">
      <c r="A81" s="8">
        <v>46098</v>
      </c>
      <c r="B81" s="9" t="s">
        <v>24</v>
      </c>
      <c r="C81" s="9" t="s">
        <v>25</v>
      </c>
      <c r="D81" s="9" t="s">
        <v>11</v>
      </c>
      <c r="E81" s="9" t="s">
        <v>27</v>
      </c>
      <c r="F81" s="9" t="s">
        <v>37</v>
      </c>
      <c r="G81" s="10">
        <v>10</v>
      </c>
      <c r="H81" s="11">
        <v>55000</v>
      </c>
      <c r="I81" s="11">
        <v>61000</v>
      </c>
    </row>
    <row r="82" spans="1:9" x14ac:dyDescent="0.35">
      <c r="A82" s="4">
        <v>46099</v>
      </c>
      <c r="B82" s="5" t="s">
        <v>29</v>
      </c>
      <c r="C82" s="5" t="s">
        <v>30</v>
      </c>
      <c r="D82" s="5" t="s">
        <v>16</v>
      </c>
      <c r="E82" s="5" t="s">
        <v>32</v>
      </c>
      <c r="F82" s="5" t="s">
        <v>39</v>
      </c>
      <c r="G82" s="6">
        <v>4</v>
      </c>
      <c r="H82" s="7">
        <v>67000</v>
      </c>
      <c r="I82" s="7">
        <v>73500</v>
      </c>
    </row>
    <row r="83" spans="1:9" x14ac:dyDescent="0.35">
      <c r="A83" s="8">
        <v>46100</v>
      </c>
      <c r="B83" s="9" t="s">
        <v>34</v>
      </c>
      <c r="C83" s="9" t="s">
        <v>35</v>
      </c>
      <c r="D83" s="9" t="s">
        <v>21</v>
      </c>
      <c r="E83" s="9" t="s">
        <v>36</v>
      </c>
      <c r="F83" s="9" t="s">
        <v>43</v>
      </c>
      <c r="G83" s="10">
        <v>15</v>
      </c>
      <c r="H83" s="11">
        <v>107000</v>
      </c>
      <c r="I83" s="11">
        <v>108800</v>
      </c>
    </row>
    <row r="84" spans="1:9" x14ac:dyDescent="0.35">
      <c r="A84" s="4">
        <v>46101</v>
      </c>
      <c r="B84" s="5" t="s">
        <v>38</v>
      </c>
      <c r="C84" s="5" t="s">
        <v>10</v>
      </c>
      <c r="D84" s="5" t="s">
        <v>26</v>
      </c>
      <c r="E84" s="5" t="s">
        <v>12</v>
      </c>
      <c r="F84" s="5" t="s">
        <v>45</v>
      </c>
      <c r="G84" s="6">
        <v>12</v>
      </c>
      <c r="H84" s="7">
        <v>110000</v>
      </c>
      <c r="I84" s="7">
        <v>111800</v>
      </c>
    </row>
    <row r="85" spans="1:9" x14ac:dyDescent="0.35">
      <c r="A85" s="8">
        <v>46102</v>
      </c>
      <c r="B85" s="9" t="s">
        <v>40</v>
      </c>
      <c r="C85" s="9" t="s">
        <v>41</v>
      </c>
      <c r="D85" s="9" t="s">
        <v>31</v>
      </c>
      <c r="E85" s="9" t="s">
        <v>42</v>
      </c>
      <c r="F85" s="9" t="s">
        <v>48</v>
      </c>
      <c r="G85" s="10">
        <v>4</v>
      </c>
      <c r="H85" s="11">
        <v>136000</v>
      </c>
      <c r="I85" s="11">
        <v>137800</v>
      </c>
    </row>
    <row r="86" spans="1:9" x14ac:dyDescent="0.35">
      <c r="A86" s="4">
        <v>46102</v>
      </c>
      <c r="B86" s="5" t="s">
        <v>40</v>
      </c>
      <c r="C86" s="5" t="s">
        <v>41</v>
      </c>
      <c r="D86" s="5" t="s">
        <v>31</v>
      </c>
      <c r="E86" s="5" t="s">
        <v>42</v>
      </c>
      <c r="F86" s="5" t="s">
        <v>48</v>
      </c>
      <c r="G86" s="6">
        <v>4</v>
      </c>
      <c r="H86" s="7">
        <v>136000</v>
      </c>
      <c r="I86" s="7">
        <v>137800</v>
      </c>
    </row>
    <row r="87" spans="1:9" x14ac:dyDescent="0.35">
      <c r="A87" s="8">
        <v>46103</v>
      </c>
      <c r="B87" s="9" t="s">
        <v>44</v>
      </c>
      <c r="C87" s="9" t="s">
        <v>35</v>
      </c>
      <c r="D87" s="9" t="s">
        <v>11</v>
      </c>
      <c r="E87" s="9" t="s">
        <v>36</v>
      </c>
      <c r="F87" s="9" t="s">
        <v>52</v>
      </c>
      <c r="G87" s="10">
        <v>13</v>
      </c>
      <c r="H87" s="11">
        <v>114000</v>
      </c>
      <c r="I87" s="11">
        <v>115800</v>
      </c>
    </row>
    <row r="88" spans="1:9" x14ac:dyDescent="0.35">
      <c r="A88" s="4">
        <v>46104</v>
      </c>
      <c r="B88" s="5" t="s">
        <v>46</v>
      </c>
      <c r="C88" s="5" t="s">
        <v>25</v>
      </c>
      <c r="D88" s="5" t="s">
        <v>16</v>
      </c>
      <c r="E88" s="5" t="s">
        <v>47</v>
      </c>
      <c r="F88" s="5" t="s">
        <v>56</v>
      </c>
      <c r="G88" s="6">
        <v>12</v>
      </c>
      <c r="H88" s="7">
        <v>63000</v>
      </c>
      <c r="I88" s="7">
        <v>69500</v>
      </c>
    </row>
    <row r="89" spans="1:9" x14ac:dyDescent="0.35">
      <c r="A89" s="8">
        <v>46105</v>
      </c>
      <c r="B89" s="9" t="s">
        <v>49</v>
      </c>
      <c r="C89" s="9" t="s">
        <v>50</v>
      </c>
      <c r="D89" s="9" t="s">
        <v>21</v>
      </c>
      <c r="E89" s="9" t="s">
        <v>51</v>
      </c>
      <c r="F89" s="9" t="s">
        <v>60</v>
      </c>
      <c r="G89" s="10">
        <v>14</v>
      </c>
      <c r="H89" s="11">
        <v>48000</v>
      </c>
      <c r="I89" s="11">
        <v>53000</v>
      </c>
    </row>
    <row r="90" spans="1:9" x14ac:dyDescent="0.35">
      <c r="A90" s="4">
        <v>46106</v>
      </c>
      <c r="B90" s="5" t="s">
        <v>53</v>
      </c>
      <c r="C90" s="5" t="s">
        <v>54</v>
      </c>
      <c r="D90" s="5" t="s">
        <v>26</v>
      </c>
      <c r="E90" s="5" t="s">
        <v>55</v>
      </c>
      <c r="F90" s="5" t="s">
        <v>63</v>
      </c>
      <c r="G90" s="6">
        <v>5</v>
      </c>
      <c r="H90" s="7">
        <v>63000</v>
      </c>
      <c r="I90" s="7">
        <v>69500</v>
      </c>
    </row>
    <row r="91" spans="1:9" x14ac:dyDescent="0.35">
      <c r="A91" s="8">
        <v>46107</v>
      </c>
      <c r="B91" s="9" t="s">
        <v>57</v>
      </c>
      <c r="C91" s="9" t="s">
        <v>58</v>
      </c>
      <c r="D91" s="9" t="s">
        <v>31</v>
      </c>
      <c r="E91" s="9" t="s">
        <v>59</v>
      </c>
      <c r="F91" s="9" t="s">
        <v>13</v>
      </c>
      <c r="G91" s="10">
        <v>14</v>
      </c>
      <c r="H91" s="11">
        <v>68000</v>
      </c>
      <c r="I91" s="11">
        <v>74500</v>
      </c>
    </row>
    <row r="92" spans="1:9" x14ac:dyDescent="0.35">
      <c r="A92" s="4">
        <v>46108</v>
      </c>
      <c r="B92" s="5" t="s">
        <v>61</v>
      </c>
      <c r="C92" s="5" t="s">
        <v>41</v>
      </c>
      <c r="D92" s="5" t="s">
        <v>11</v>
      </c>
      <c r="E92" s="5" t="s">
        <v>62</v>
      </c>
      <c r="F92" s="5" t="s">
        <v>18</v>
      </c>
      <c r="G92" s="6">
        <v>12</v>
      </c>
      <c r="H92" s="7">
        <v>98000</v>
      </c>
      <c r="I92" s="7">
        <v>99800</v>
      </c>
    </row>
    <row r="93" spans="1:9" x14ac:dyDescent="0.35">
      <c r="A93" s="8">
        <v>46109</v>
      </c>
      <c r="B93" s="9" t="s">
        <v>64</v>
      </c>
      <c r="C93" s="9" t="s">
        <v>35</v>
      </c>
      <c r="D93" s="9" t="s">
        <v>16</v>
      </c>
      <c r="E93" s="9" t="s">
        <v>36</v>
      </c>
      <c r="F93" s="9" t="s">
        <v>23</v>
      </c>
      <c r="G93" s="10">
        <v>7</v>
      </c>
      <c r="H93" s="11">
        <v>112000</v>
      </c>
      <c r="I93" s="11">
        <v>113800</v>
      </c>
    </row>
    <row r="94" spans="1:9" x14ac:dyDescent="0.35">
      <c r="A94" s="4">
        <v>46110</v>
      </c>
      <c r="B94" s="5" t="s">
        <v>65</v>
      </c>
      <c r="C94" s="5" t="s">
        <v>10</v>
      </c>
      <c r="D94" s="5" t="s">
        <v>21</v>
      </c>
      <c r="E94" s="5" t="s">
        <v>27</v>
      </c>
      <c r="F94" s="5" t="s">
        <v>28</v>
      </c>
      <c r="G94" s="6">
        <v>13</v>
      </c>
      <c r="H94" s="7">
        <v>116000</v>
      </c>
      <c r="I94" s="7">
        <v>117800</v>
      </c>
    </row>
    <row r="95" spans="1:9" x14ac:dyDescent="0.35">
      <c r="A95" s="8">
        <v>46111</v>
      </c>
      <c r="B95" s="9" t="s">
        <v>66</v>
      </c>
      <c r="C95" s="9" t="s">
        <v>41</v>
      </c>
      <c r="D95" s="9" t="s">
        <v>26</v>
      </c>
      <c r="E95" s="9" t="s">
        <v>62</v>
      </c>
      <c r="F95" s="9" t="s">
        <v>33</v>
      </c>
      <c r="G95" s="10">
        <v>11</v>
      </c>
      <c r="H95" s="11">
        <v>100000</v>
      </c>
      <c r="I95" s="11">
        <v>101800</v>
      </c>
    </row>
    <row r="96" spans="1:9" x14ac:dyDescent="0.35">
      <c r="A96" s="4">
        <v>46112</v>
      </c>
      <c r="B96" s="5" t="s">
        <v>67</v>
      </c>
      <c r="C96" s="5" t="s">
        <v>54</v>
      </c>
      <c r="D96" s="5" t="s">
        <v>31</v>
      </c>
      <c r="E96" s="5" t="s">
        <v>68</v>
      </c>
      <c r="F96" s="5" t="s">
        <v>37</v>
      </c>
      <c r="G96" s="6">
        <v>15</v>
      </c>
      <c r="H96" s="7">
        <v>64000</v>
      </c>
      <c r="I96" s="7">
        <v>70500</v>
      </c>
    </row>
    <row r="97" spans="1:9" x14ac:dyDescent="0.35">
      <c r="A97" s="8">
        <v>46113</v>
      </c>
      <c r="B97" s="9" t="s">
        <v>69</v>
      </c>
      <c r="C97" s="9" t="s">
        <v>70</v>
      </c>
      <c r="D97" s="9" t="s">
        <v>11</v>
      </c>
      <c r="E97" s="9" t="s">
        <v>71</v>
      </c>
      <c r="F97" s="9" t="s">
        <v>39</v>
      </c>
      <c r="G97" s="10">
        <v>10</v>
      </c>
      <c r="H97" s="11">
        <v>46000</v>
      </c>
      <c r="I97" s="11">
        <v>51000</v>
      </c>
    </row>
    <row r="98" spans="1:9" x14ac:dyDescent="0.35">
      <c r="A98" s="4">
        <v>46114</v>
      </c>
      <c r="B98" s="5" t="s">
        <v>72</v>
      </c>
      <c r="C98" s="5" t="s">
        <v>15</v>
      </c>
      <c r="D98" s="5" t="s">
        <v>16</v>
      </c>
      <c r="E98" s="5" t="s">
        <v>42</v>
      </c>
      <c r="F98" s="5" t="s">
        <v>43</v>
      </c>
      <c r="G98" s="6">
        <v>3</v>
      </c>
      <c r="H98" s="7">
        <v>66000</v>
      </c>
      <c r="I98" s="7">
        <v>72500</v>
      </c>
    </row>
    <row r="99" spans="1:9" x14ac:dyDescent="0.35">
      <c r="A99" s="8">
        <v>46115</v>
      </c>
      <c r="B99" s="9" t="s">
        <v>73</v>
      </c>
      <c r="C99" s="9" t="s">
        <v>74</v>
      </c>
      <c r="D99" s="9" t="s">
        <v>21</v>
      </c>
      <c r="E99" s="9" t="s">
        <v>75</v>
      </c>
      <c r="F99" s="9" t="s">
        <v>45</v>
      </c>
      <c r="G99" s="10">
        <v>7</v>
      </c>
      <c r="H99" s="11">
        <v>59000</v>
      </c>
      <c r="I99" s="11">
        <v>65000</v>
      </c>
    </row>
    <row r="100" spans="1:9" x14ac:dyDescent="0.35">
      <c r="A100" s="4">
        <v>46116</v>
      </c>
      <c r="B100" s="5" t="s">
        <v>76</v>
      </c>
      <c r="C100" s="5" t="s">
        <v>10</v>
      </c>
      <c r="D100" s="5" t="s">
        <v>26</v>
      </c>
      <c r="E100" s="5" t="s">
        <v>12</v>
      </c>
      <c r="F100" s="5" t="s">
        <v>48</v>
      </c>
      <c r="G100" s="6">
        <v>6</v>
      </c>
      <c r="H100" s="7">
        <v>102000</v>
      </c>
      <c r="I100" s="7">
        <v>103800</v>
      </c>
    </row>
    <row r="101" spans="1:9" x14ac:dyDescent="0.35">
      <c r="A101" s="8">
        <v>46117</v>
      </c>
      <c r="B101" s="9" t="s">
        <v>77</v>
      </c>
      <c r="C101" s="9" t="s">
        <v>41</v>
      </c>
      <c r="D101" s="9" t="s">
        <v>31</v>
      </c>
      <c r="E101" s="9" t="s">
        <v>62</v>
      </c>
      <c r="F101" s="9" t="s">
        <v>52</v>
      </c>
      <c r="G101" s="10">
        <v>7</v>
      </c>
      <c r="H101" s="11">
        <v>101000</v>
      </c>
      <c r="I101" s="11">
        <v>102800</v>
      </c>
    </row>
    <row r="102" spans="1:9" x14ac:dyDescent="0.35">
      <c r="A102" s="4">
        <v>46118</v>
      </c>
      <c r="B102" s="5" t="s">
        <v>78</v>
      </c>
      <c r="C102" s="5" t="s">
        <v>35</v>
      </c>
      <c r="D102" s="5" t="s">
        <v>11</v>
      </c>
      <c r="E102" s="5" t="s">
        <v>55</v>
      </c>
      <c r="F102" s="5" t="s">
        <v>56</v>
      </c>
      <c r="G102" s="6">
        <v>7</v>
      </c>
      <c r="H102" s="7">
        <v>112000</v>
      </c>
      <c r="I102" s="7">
        <v>113800</v>
      </c>
    </row>
    <row r="103" spans="1:9" x14ac:dyDescent="0.35">
      <c r="A103" s="8">
        <v>46119</v>
      </c>
      <c r="B103" s="9" t="s">
        <v>9</v>
      </c>
      <c r="C103" s="9" t="s">
        <v>10</v>
      </c>
      <c r="D103" s="9" t="s">
        <v>16</v>
      </c>
      <c r="E103" s="9" t="s">
        <v>12</v>
      </c>
      <c r="F103" s="9" t="s">
        <v>60</v>
      </c>
      <c r="G103" s="10">
        <v>6</v>
      </c>
      <c r="H103" s="11">
        <v>134000</v>
      </c>
      <c r="I103" s="11">
        <v>135800</v>
      </c>
    </row>
    <row r="104" spans="1:9" x14ac:dyDescent="0.35">
      <c r="A104" s="4">
        <v>46120</v>
      </c>
      <c r="B104" s="5" t="s">
        <v>14</v>
      </c>
      <c r="C104" s="5" t="s">
        <v>15</v>
      </c>
      <c r="D104" s="5" t="s">
        <v>21</v>
      </c>
      <c r="E104" s="5" t="s">
        <v>17</v>
      </c>
      <c r="F104" s="5" t="s">
        <v>63</v>
      </c>
      <c r="G104" s="6">
        <v>3</v>
      </c>
      <c r="H104" s="7">
        <v>63000</v>
      </c>
      <c r="I104" s="7">
        <v>69500</v>
      </c>
    </row>
    <row r="105" spans="1:9" x14ac:dyDescent="0.35">
      <c r="A105" s="8">
        <v>46121</v>
      </c>
      <c r="B105" s="9" t="s">
        <v>19</v>
      </c>
      <c r="C105" s="9" t="s">
        <v>20</v>
      </c>
      <c r="D105" s="9" t="s">
        <v>26</v>
      </c>
      <c r="E105" s="9" t="s">
        <v>22</v>
      </c>
      <c r="F105" s="9" t="s">
        <v>13</v>
      </c>
      <c r="G105" s="10">
        <v>12</v>
      </c>
      <c r="H105" s="11">
        <v>39000</v>
      </c>
      <c r="I105" s="11">
        <v>44000</v>
      </c>
    </row>
    <row r="106" spans="1:9" x14ac:dyDescent="0.35">
      <c r="A106" s="4">
        <v>46122</v>
      </c>
      <c r="B106" s="5" t="s">
        <v>24</v>
      </c>
      <c r="C106" s="5" t="s">
        <v>25</v>
      </c>
      <c r="D106" s="5" t="s">
        <v>31</v>
      </c>
      <c r="E106" s="5" t="s">
        <v>27</v>
      </c>
      <c r="F106" s="5" t="s">
        <v>18</v>
      </c>
      <c r="G106" s="6">
        <v>5</v>
      </c>
      <c r="H106" s="7">
        <v>69000</v>
      </c>
      <c r="I106" s="7">
        <v>75500</v>
      </c>
    </row>
    <row r="107" spans="1:9" x14ac:dyDescent="0.35">
      <c r="A107" s="8">
        <v>46123</v>
      </c>
      <c r="B107" s="9" t="s">
        <v>29</v>
      </c>
      <c r="C107" s="9" t="s">
        <v>30</v>
      </c>
      <c r="D107" s="9" t="s">
        <v>11</v>
      </c>
      <c r="E107" s="9" t="s">
        <v>32</v>
      </c>
      <c r="F107" s="9" t="s">
        <v>23</v>
      </c>
      <c r="G107" s="10">
        <v>3</v>
      </c>
      <c r="H107" s="11">
        <v>72000</v>
      </c>
      <c r="I107" s="11">
        <v>75000</v>
      </c>
    </row>
    <row r="108" spans="1:9" x14ac:dyDescent="0.35">
      <c r="A108" s="4">
        <v>46124</v>
      </c>
      <c r="B108" s="5" t="s">
        <v>34</v>
      </c>
      <c r="C108" s="5" t="s">
        <v>35</v>
      </c>
      <c r="D108" s="5" t="s">
        <v>16</v>
      </c>
      <c r="E108" s="5" t="s">
        <v>36</v>
      </c>
      <c r="F108" s="5" t="s">
        <v>28</v>
      </c>
      <c r="G108" s="6">
        <v>5</v>
      </c>
      <c r="H108" s="7">
        <v>117000</v>
      </c>
      <c r="I108" s="7">
        <v>118800</v>
      </c>
    </row>
    <row r="109" spans="1:9" x14ac:dyDescent="0.35">
      <c r="A109" s="8">
        <v>46125</v>
      </c>
      <c r="B109" s="9" t="s">
        <v>38</v>
      </c>
      <c r="C109" s="9" t="s">
        <v>10</v>
      </c>
      <c r="D109" s="9" t="s">
        <v>21</v>
      </c>
      <c r="E109" s="9" t="s">
        <v>12</v>
      </c>
      <c r="F109" s="9" t="s">
        <v>33</v>
      </c>
      <c r="G109" s="10">
        <v>15</v>
      </c>
      <c r="H109" s="11">
        <v>107000</v>
      </c>
      <c r="I109" s="11">
        <v>108800</v>
      </c>
    </row>
    <row r="110" spans="1:9" x14ac:dyDescent="0.35">
      <c r="A110" s="4">
        <v>46125</v>
      </c>
      <c r="B110" s="5" t="s">
        <v>38</v>
      </c>
      <c r="C110" s="5" t="s">
        <v>10</v>
      </c>
      <c r="D110" s="5" t="s">
        <v>21</v>
      </c>
      <c r="E110" s="5" t="s">
        <v>12</v>
      </c>
      <c r="F110" s="5" t="s">
        <v>33</v>
      </c>
      <c r="G110" s="6">
        <v>15</v>
      </c>
      <c r="H110" s="7">
        <v>107000</v>
      </c>
      <c r="I110" s="7">
        <v>108800</v>
      </c>
    </row>
    <row r="111" spans="1:9" x14ac:dyDescent="0.35">
      <c r="A111" s="8">
        <v>46126</v>
      </c>
      <c r="B111" s="9" t="s">
        <v>40</v>
      </c>
      <c r="C111" s="9" t="s">
        <v>41</v>
      </c>
      <c r="D111" s="9" t="s">
        <v>26</v>
      </c>
      <c r="E111" s="9" t="s">
        <v>42</v>
      </c>
      <c r="F111" s="9" t="s">
        <v>37</v>
      </c>
      <c r="G111" s="10">
        <v>3</v>
      </c>
      <c r="H111" s="11">
        <v>122000</v>
      </c>
      <c r="I111" s="11">
        <v>123800</v>
      </c>
    </row>
    <row r="112" spans="1:9" x14ac:dyDescent="0.35">
      <c r="A112" s="4">
        <v>46127</v>
      </c>
      <c r="B112" s="5" t="s">
        <v>44</v>
      </c>
      <c r="C112" s="5" t="s">
        <v>35</v>
      </c>
      <c r="D112" s="5" t="s">
        <v>31</v>
      </c>
      <c r="E112" s="5" t="s">
        <v>36</v>
      </c>
      <c r="F112" s="5" t="s">
        <v>39</v>
      </c>
      <c r="G112" s="6">
        <v>5</v>
      </c>
      <c r="H112" s="7">
        <v>116000</v>
      </c>
      <c r="I112" s="7">
        <v>117800</v>
      </c>
    </row>
    <row r="113" spans="1:9" x14ac:dyDescent="0.35">
      <c r="A113" s="8">
        <v>46128</v>
      </c>
      <c r="B113" s="9" t="s">
        <v>46</v>
      </c>
      <c r="C113" s="9" t="s">
        <v>25</v>
      </c>
      <c r="D113" s="9" t="s">
        <v>11</v>
      </c>
      <c r="E113" s="9" t="s">
        <v>47</v>
      </c>
      <c r="F113" s="9" t="s">
        <v>43</v>
      </c>
      <c r="G113" s="10">
        <v>7</v>
      </c>
      <c r="H113" s="11">
        <v>57000</v>
      </c>
      <c r="I113" s="11">
        <v>63000</v>
      </c>
    </row>
    <row r="114" spans="1:9" x14ac:dyDescent="0.35">
      <c r="A114" s="4">
        <v>46129</v>
      </c>
      <c r="B114" s="5" t="s">
        <v>49</v>
      </c>
      <c r="C114" s="5" t="s">
        <v>50</v>
      </c>
      <c r="D114" s="5" t="s">
        <v>16</v>
      </c>
      <c r="E114" s="5" t="s">
        <v>51</v>
      </c>
      <c r="F114" s="5" t="s">
        <v>45</v>
      </c>
      <c r="G114" s="6">
        <v>15</v>
      </c>
      <c r="H114" s="7">
        <v>40000</v>
      </c>
      <c r="I114" s="7">
        <v>45000</v>
      </c>
    </row>
    <row r="115" spans="1:9" x14ac:dyDescent="0.35">
      <c r="A115" s="8">
        <v>46130</v>
      </c>
      <c r="B115" s="9" t="s">
        <v>53</v>
      </c>
      <c r="C115" s="9" t="s">
        <v>54</v>
      </c>
      <c r="D115" s="9" t="s">
        <v>21</v>
      </c>
      <c r="E115" s="9" t="s">
        <v>55</v>
      </c>
      <c r="F115" s="9" t="s">
        <v>48</v>
      </c>
      <c r="G115" s="10">
        <v>13</v>
      </c>
      <c r="H115" s="11">
        <v>71000</v>
      </c>
      <c r="I115" s="11">
        <v>74000</v>
      </c>
    </row>
    <row r="116" spans="1:9" x14ac:dyDescent="0.35">
      <c r="A116" s="4">
        <v>46130</v>
      </c>
      <c r="B116" s="5" t="s">
        <v>53</v>
      </c>
      <c r="C116" s="5" t="s">
        <v>54</v>
      </c>
      <c r="D116" s="5" t="s">
        <v>21</v>
      </c>
      <c r="E116" s="5" t="s">
        <v>55</v>
      </c>
      <c r="F116" s="5" t="s">
        <v>48</v>
      </c>
      <c r="G116" s="6">
        <v>13</v>
      </c>
      <c r="H116" s="7">
        <v>71000</v>
      </c>
      <c r="I116" s="7">
        <v>74000</v>
      </c>
    </row>
    <row r="117" spans="1:9" x14ac:dyDescent="0.35">
      <c r="A117" s="8">
        <v>46131</v>
      </c>
      <c r="B117" s="9" t="s">
        <v>57</v>
      </c>
      <c r="C117" s="9" t="s">
        <v>58</v>
      </c>
      <c r="D117" s="9" t="s">
        <v>26</v>
      </c>
      <c r="E117" s="9" t="s">
        <v>59</v>
      </c>
      <c r="F117" s="9" t="s">
        <v>52</v>
      </c>
      <c r="G117" s="10">
        <v>13</v>
      </c>
      <c r="H117" s="11">
        <v>70000</v>
      </c>
      <c r="I117" s="11">
        <v>76500</v>
      </c>
    </row>
    <row r="118" spans="1:9" x14ac:dyDescent="0.35">
      <c r="A118" s="4">
        <v>46132</v>
      </c>
      <c r="B118" s="5" t="s">
        <v>61</v>
      </c>
      <c r="C118" s="5" t="s">
        <v>41</v>
      </c>
      <c r="D118" s="5" t="s">
        <v>31</v>
      </c>
      <c r="E118" s="5" t="s">
        <v>62</v>
      </c>
      <c r="F118" s="5" t="s">
        <v>56</v>
      </c>
      <c r="G118" s="6">
        <v>8</v>
      </c>
      <c r="H118" s="7">
        <v>103000</v>
      </c>
      <c r="I118" s="7">
        <v>104800</v>
      </c>
    </row>
    <row r="119" spans="1:9" x14ac:dyDescent="0.35">
      <c r="A119" s="8">
        <v>46133</v>
      </c>
      <c r="B119" s="9" t="s">
        <v>64</v>
      </c>
      <c r="C119" s="9" t="s">
        <v>35</v>
      </c>
      <c r="D119" s="9" t="s">
        <v>11</v>
      </c>
      <c r="E119" s="9" t="s">
        <v>36</v>
      </c>
      <c r="F119" s="9" t="s">
        <v>60</v>
      </c>
      <c r="G119" s="10">
        <v>15</v>
      </c>
      <c r="H119" s="11">
        <v>93000</v>
      </c>
      <c r="I119" s="11">
        <v>94800</v>
      </c>
    </row>
    <row r="120" spans="1:9" x14ac:dyDescent="0.35">
      <c r="A120" s="4">
        <v>46134</v>
      </c>
      <c r="B120" s="5" t="s">
        <v>65</v>
      </c>
      <c r="C120" s="5" t="s">
        <v>10</v>
      </c>
      <c r="D120" s="5" t="s">
        <v>16</v>
      </c>
      <c r="E120" s="5" t="s">
        <v>27</v>
      </c>
      <c r="F120" s="5" t="s">
        <v>63</v>
      </c>
      <c r="G120" s="6">
        <v>9</v>
      </c>
      <c r="H120" s="7">
        <v>119000</v>
      </c>
      <c r="I120" s="7">
        <v>120800</v>
      </c>
    </row>
    <row r="121" spans="1:9" x14ac:dyDescent="0.35">
      <c r="A121" s="8">
        <v>46135</v>
      </c>
      <c r="B121" s="9" t="s">
        <v>66</v>
      </c>
      <c r="C121" s="9" t="s">
        <v>41</v>
      </c>
      <c r="D121" s="9" t="s">
        <v>21</v>
      </c>
      <c r="E121" s="9" t="s">
        <v>62</v>
      </c>
      <c r="F121" s="9" t="s">
        <v>13</v>
      </c>
      <c r="G121" s="10">
        <v>4</v>
      </c>
      <c r="H121" s="11">
        <v>110000</v>
      </c>
      <c r="I121" s="11">
        <v>111800</v>
      </c>
    </row>
    <row r="122" spans="1:9" x14ac:dyDescent="0.35">
      <c r="A122" s="4">
        <v>46136</v>
      </c>
      <c r="B122" s="5" t="s">
        <v>67</v>
      </c>
      <c r="C122" s="5" t="s">
        <v>54</v>
      </c>
      <c r="D122" s="5" t="s">
        <v>26</v>
      </c>
      <c r="E122" s="5" t="s">
        <v>68</v>
      </c>
      <c r="F122" s="5" t="s">
        <v>18</v>
      </c>
      <c r="G122" s="6">
        <v>15</v>
      </c>
      <c r="H122" s="7">
        <v>54000</v>
      </c>
      <c r="I122" s="7">
        <v>60000</v>
      </c>
    </row>
    <row r="123" spans="1:9" x14ac:dyDescent="0.35">
      <c r="A123" s="8">
        <v>46137</v>
      </c>
      <c r="B123" s="9" t="s">
        <v>69</v>
      </c>
      <c r="C123" s="9" t="s">
        <v>70</v>
      </c>
      <c r="D123" s="9" t="s">
        <v>31</v>
      </c>
      <c r="E123" s="9" t="s">
        <v>71</v>
      </c>
      <c r="F123" s="9" t="s">
        <v>23</v>
      </c>
      <c r="G123" s="10">
        <v>4</v>
      </c>
      <c r="H123" s="11">
        <v>54000</v>
      </c>
      <c r="I123" s="11">
        <v>60000</v>
      </c>
    </row>
    <row r="124" spans="1:9" x14ac:dyDescent="0.35">
      <c r="A124" s="4">
        <v>46138</v>
      </c>
      <c r="B124" s="5" t="s">
        <v>72</v>
      </c>
      <c r="C124" s="5" t="s">
        <v>15</v>
      </c>
      <c r="D124" s="5" t="s">
        <v>11</v>
      </c>
      <c r="E124" s="5" t="s">
        <v>42</v>
      </c>
      <c r="F124" s="5" t="s">
        <v>28</v>
      </c>
      <c r="G124" s="6">
        <v>3</v>
      </c>
      <c r="H124" s="7">
        <v>73000</v>
      </c>
      <c r="I124" s="7">
        <v>76000</v>
      </c>
    </row>
    <row r="125" spans="1:9" x14ac:dyDescent="0.35">
      <c r="A125" s="8">
        <v>46139</v>
      </c>
      <c r="B125" s="9" t="s">
        <v>73</v>
      </c>
      <c r="C125" s="9" t="s">
        <v>74</v>
      </c>
      <c r="D125" s="9" t="s">
        <v>16</v>
      </c>
      <c r="E125" s="9" t="s">
        <v>75</v>
      </c>
      <c r="F125" s="9" t="s">
        <v>33</v>
      </c>
      <c r="G125" s="10">
        <v>12</v>
      </c>
      <c r="H125" s="11">
        <v>76000</v>
      </c>
      <c r="I125" s="11">
        <v>79000</v>
      </c>
    </row>
    <row r="126" spans="1:9" x14ac:dyDescent="0.35">
      <c r="A126" s="4">
        <v>46140</v>
      </c>
      <c r="B126" s="5" t="s">
        <v>76</v>
      </c>
      <c r="C126" s="5" t="s">
        <v>10</v>
      </c>
      <c r="D126" s="5" t="s">
        <v>21</v>
      </c>
      <c r="E126" s="5" t="s">
        <v>12</v>
      </c>
      <c r="F126" s="5" t="s">
        <v>37</v>
      </c>
      <c r="G126" s="6">
        <v>9</v>
      </c>
      <c r="H126" s="7">
        <v>105000</v>
      </c>
      <c r="I126" s="7">
        <v>106800</v>
      </c>
    </row>
    <row r="127" spans="1:9" x14ac:dyDescent="0.35">
      <c r="A127" s="8">
        <v>46141</v>
      </c>
      <c r="B127" s="9" t="s">
        <v>77</v>
      </c>
      <c r="C127" s="9" t="s">
        <v>41</v>
      </c>
      <c r="D127" s="9" t="s">
        <v>26</v>
      </c>
      <c r="E127" s="9" t="s">
        <v>62</v>
      </c>
      <c r="F127" s="9" t="s">
        <v>39</v>
      </c>
      <c r="G127" s="10">
        <v>9</v>
      </c>
      <c r="H127" s="11">
        <v>99000</v>
      </c>
      <c r="I127" s="11">
        <v>100800</v>
      </c>
    </row>
    <row r="128" spans="1:9" x14ac:dyDescent="0.35">
      <c r="A128" s="4">
        <v>46142</v>
      </c>
      <c r="B128" s="5" t="s">
        <v>78</v>
      </c>
      <c r="C128" s="5" t="s">
        <v>35</v>
      </c>
      <c r="D128" s="5" t="s">
        <v>31</v>
      </c>
      <c r="E128" s="5" t="s">
        <v>55</v>
      </c>
      <c r="F128" s="5" t="s">
        <v>43</v>
      </c>
      <c r="G128" s="6">
        <v>8</v>
      </c>
      <c r="H128" s="7">
        <v>115000</v>
      </c>
      <c r="I128" s="7">
        <v>116800</v>
      </c>
    </row>
    <row r="129" spans="1:9" x14ac:dyDescent="0.35">
      <c r="A129" s="8">
        <v>46143</v>
      </c>
      <c r="B129" s="9" t="s">
        <v>9</v>
      </c>
      <c r="C129" s="9" t="s">
        <v>10</v>
      </c>
      <c r="D129" s="9" t="s">
        <v>11</v>
      </c>
      <c r="E129" s="9" t="s">
        <v>12</v>
      </c>
      <c r="F129" s="9" t="s">
        <v>45</v>
      </c>
      <c r="G129" s="10">
        <v>8</v>
      </c>
      <c r="H129" s="11">
        <v>102000</v>
      </c>
      <c r="I129" s="11">
        <v>103800</v>
      </c>
    </row>
    <row r="130" spans="1:9" x14ac:dyDescent="0.35">
      <c r="A130" s="4">
        <v>46144</v>
      </c>
      <c r="B130" s="5" t="s">
        <v>14</v>
      </c>
      <c r="C130" s="5" t="s">
        <v>15</v>
      </c>
      <c r="D130" s="5" t="s">
        <v>16</v>
      </c>
      <c r="E130" s="5" t="s">
        <v>17</v>
      </c>
      <c r="F130" s="5" t="s">
        <v>48</v>
      </c>
      <c r="G130" s="6">
        <v>4</v>
      </c>
      <c r="H130" s="7">
        <v>64000</v>
      </c>
      <c r="I130" s="7">
        <v>70500</v>
      </c>
    </row>
    <row r="131" spans="1:9" x14ac:dyDescent="0.35">
      <c r="A131" s="8">
        <v>46145</v>
      </c>
      <c r="B131" s="9" t="s">
        <v>19</v>
      </c>
      <c r="C131" s="9" t="s">
        <v>20</v>
      </c>
      <c r="D131" s="9" t="s">
        <v>21</v>
      </c>
      <c r="E131" s="9" t="s">
        <v>22</v>
      </c>
      <c r="F131" s="9" t="s">
        <v>52</v>
      </c>
      <c r="G131" s="10">
        <v>4</v>
      </c>
      <c r="H131" s="11">
        <v>40000</v>
      </c>
      <c r="I131" s="11">
        <v>45000</v>
      </c>
    </row>
    <row r="132" spans="1:9" x14ac:dyDescent="0.35">
      <c r="A132" s="4">
        <v>46146</v>
      </c>
      <c r="B132" s="5" t="s">
        <v>24</v>
      </c>
      <c r="C132" s="5" t="s">
        <v>25</v>
      </c>
      <c r="D132" s="5" t="s">
        <v>26</v>
      </c>
      <c r="E132" s="5" t="s">
        <v>27</v>
      </c>
      <c r="F132" s="5" t="s">
        <v>56</v>
      </c>
      <c r="G132" s="6">
        <v>8</v>
      </c>
      <c r="H132" s="7">
        <v>66000</v>
      </c>
      <c r="I132" s="7">
        <v>72500</v>
      </c>
    </row>
    <row r="133" spans="1:9" x14ac:dyDescent="0.35">
      <c r="A133" s="8">
        <v>46147</v>
      </c>
      <c r="B133" s="9" t="s">
        <v>29</v>
      </c>
      <c r="C133" s="9" t="s">
        <v>30</v>
      </c>
      <c r="D133" s="9" t="s">
        <v>31</v>
      </c>
      <c r="E133" s="9" t="s">
        <v>32</v>
      </c>
      <c r="F133" s="9" t="s">
        <v>60</v>
      </c>
      <c r="G133" s="10">
        <v>6</v>
      </c>
      <c r="H133" s="11">
        <v>71000</v>
      </c>
      <c r="I133" s="11">
        <v>74000</v>
      </c>
    </row>
    <row r="134" spans="1:9" x14ac:dyDescent="0.35">
      <c r="A134" s="4">
        <v>46148</v>
      </c>
      <c r="B134" s="5" t="s">
        <v>34</v>
      </c>
      <c r="C134" s="5" t="s">
        <v>35</v>
      </c>
      <c r="D134" s="5" t="s">
        <v>11</v>
      </c>
      <c r="E134" s="5" t="s">
        <v>36</v>
      </c>
      <c r="F134" s="5" t="s">
        <v>63</v>
      </c>
      <c r="G134" s="6">
        <v>8</v>
      </c>
      <c r="H134" s="7">
        <v>104000</v>
      </c>
      <c r="I134" s="7">
        <v>105800</v>
      </c>
    </row>
    <row r="135" spans="1:9" x14ac:dyDescent="0.35">
      <c r="A135" s="8">
        <v>46149</v>
      </c>
      <c r="B135" s="9" t="s">
        <v>38</v>
      </c>
      <c r="C135" s="9" t="s">
        <v>10</v>
      </c>
      <c r="D135" s="9" t="s">
        <v>16</v>
      </c>
      <c r="E135" s="9" t="s">
        <v>12</v>
      </c>
      <c r="F135" s="9" t="s">
        <v>13</v>
      </c>
      <c r="G135" s="10">
        <v>8</v>
      </c>
      <c r="H135" s="11">
        <v>99000</v>
      </c>
      <c r="I135" s="11">
        <v>100800</v>
      </c>
    </row>
    <row r="136" spans="1:9" x14ac:dyDescent="0.35">
      <c r="A136" s="4">
        <v>46150</v>
      </c>
      <c r="B136" s="5" t="s">
        <v>40</v>
      </c>
      <c r="C136" s="5" t="s">
        <v>41</v>
      </c>
      <c r="D136" s="5" t="s">
        <v>21</v>
      </c>
      <c r="E136" s="5" t="s">
        <v>42</v>
      </c>
      <c r="F136" s="5" t="s">
        <v>18</v>
      </c>
      <c r="G136" s="6">
        <v>8</v>
      </c>
      <c r="H136" s="7">
        <v>120000</v>
      </c>
      <c r="I136" s="7">
        <v>121800</v>
      </c>
    </row>
    <row r="137" spans="1:9" x14ac:dyDescent="0.35">
      <c r="A137" s="8">
        <v>46151</v>
      </c>
      <c r="B137" s="9" t="s">
        <v>44</v>
      </c>
      <c r="C137" s="9" t="s">
        <v>35</v>
      </c>
      <c r="D137" s="9" t="s">
        <v>26</v>
      </c>
      <c r="E137" s="9" t="s">
        <v>36</v>
      </c>
      <c r="F137" s="9" t="s">
        <v>23</v>
      </c>
      <c r="G137" s="10">
        <v>15</v>
      </c>
      <c r="H137" s="11">
        <v>137000</v>
      </c>
      <c r="I137" s="11">
        <v>138800</v>
      </c>
    </row>
    <row r="138" spans="1:9" x14ac:dyDescent="0.35">
      <c r="A138" s="4">
        <v>46152</v>
      </c>
      <c r="B138" s="5" t="s">
        <v>46</v>
      </c>
      <c r="C138" s="5" t="s">
        <v>25</v>
      </c>
      <c r="D138" s="5" t="s">
        <v>31</v>
      </c>
      <c r="E138" s="5" t="s">
        <v>47</v>
      </c>
      <c r="F138" s="5" t="s">
        <v>28</v>
      </c>
      <c r="G138" s="6">
        <v>15</v>
      </c>
      <c r="H138" s="7">
        <v>58000</v>
      </c>
      <c r="I138" s="7">
        <v>64000</v>
      </c>
    </row>
    <row r="139" spans="1:9" x14ac:dyDescent="0.35">
      <c r="A139" s="8">
        <v>46153</v>
      </c>
      <c r="B139" s="9" t="s">
        <v>49</v>
      </c>
      <c r="C139" s="9" t="s">
        <v>50</v>
      </c>
      <c r="D139" s="9" t="s">
        <v>11</v>
      </c>
      <c r="E139" s="9" t="s">
        <v>51</v>
      </c>
      <c r="F139" s="9" t="s">
        <v>33</v>
      </c>
      <c r="G139" s="10">
        <v>12</v>
      </c>
      <c r="H139" s="11">
        <v>40000</v>
      </c>
      <c r="I139" s="11">
        <v>45000</v>
      </c>
    </row>
    <row r="140" spans="1:9" x14ac:dyDescent="0.35">
      <c r="A140" s="4">
        <v>46154</v>
      </c>
      <c r="B140" s="5" t="s">
        <v>53</v>
      </c>
      <c r="C140" s="5" t="s">
        <v>54</v>
      </c>
      <c r="D140" s="5" t="s">
        <v>16</v>
      </c>
      <c r="E140" s="5" t="s">
        <v>55</v>
      </c>
      <c r="F140" s="5" t="s">
        <v>37</v>
      </c>
      <c r="G140" s="6">
        <v>13</v>
      </c>
      <c r="H140" s="7">
        <v>72000</v>
      </c>
      <c r="I140" s="7">
        <v>75000</v>
      </c>
    </row>
    <row r="141" spans="1:9" x14ac:dyDescent="0.35">
      <c r="A141" s="8">
        <v>46155</v>
      </c>
      <c r="B141" s="9" t="s">
        <v>57</v>
      </c>
      <c r="C141" s="9" t="s">
        <v>58</v>
      </c>
      <c r="D141" s="9" t="s">
        <v>21</v>
      </c>
      <c r="E141" s="9" t="s">
        <v>59</v>
      </c>
      <c r="F141" s="9" t="s">
        <v>39</v>
      </c>
      <c r="G141" s="10">
        <v>8</v>
      </c>
      <c r="H141" s="11">
        <v>58000</v>
      </c>
      <c r="I141" s="11">
        <v>64000</v>
      </c>
    </row>
    <row r="142" spans="1:9" x14ac:dyDescent="0.35">
      <c r="A142" s="4">
        <v>46156</v>
      </c>
      <c r="B142" s="5" t="s">
        <v>61</v>
      </c>
      <c r="C142" s="5" t="s">
        <v>41</v>
      </c>
      <c r="D142" s="5" t="s">
        <v>26</v>
      </c>
      <c r="E142" s="5" t="s">
        <v>62</v>
      </c>
      <c r="F142" s="5" t="s">
        <v>43</v>
      </c>
      <c r="G142" s="6">
        <v>8</v>
      </c>
      <c r="H142" s="7">
        <v>90000</v>
      </c>
      <c r="I142" s="7">
        <v>91800</v>
      </c>
    </row>
    <row r="143" spans="1:9" x14ac:dyDescent="0.35">
      <c r="A143" s="8">
        <v>46157</v>
      </c>
      <c r="B143" s="9" t="s">
        <v>64</v>
      </c>
      <c r="C143" s="9" t="s">
        <v>35</v>
      </c>
      <c r="D143" s="9" t="s">
        <v>31</v>
      </c>
      <c r="E143" s="9" t="s">
        <v>36</v>
      </c>
      <c r="F143" s="9" t="s">
        <v>45</v>
      </c>
      <c r="G143" s="10">
        <v>6</v>
      </c>
      <c r="H143" s="11">
        <v>107000</v>
      </c>
      <c r="I143" s="11">
        <v>108800</v>
      </c>
    </row>
    <row r="144" spans="1:9" x14ac:dyDescent="0.35">
      <c r="A144" s="4">
        <v>46158</v>
      </c>
      <c r="B144" s="5" t="s">
        <v>65</v>
      </c>
      <c r="C144" s="5" t="s">
        <v>10</v>
      </c>
      <c r="D144" s="5" t="s">
        <v>11</v>
      </c>
      <c r="E144" s="5" t="s">
        <v>27</v>
      </c>
      <c r="F144" s="5" t="s">
        <v>48</v>
      </c>
      <c r="G144" s="6">
        <v>6</v>
      </c>
      <c r="H144" s="7">
        <v>101000</v>
      </c>
      <c r="I144" s="7">
        <v>102800</v>
      </c>
    </row>
    <row r="145" spans="1:9" x14ac:dyDescent="0.35">
      <c r="A145" s="8">
        <v>46159</v>
      </c>
      <c r="B145" s="9" t="s">
        <v>66</v>
      </c>
      <c r="C145" s="9" t="s">
        <v>41</v>
      </c>
      <c r="D145" s="9" t="s">
        <v>16</v>
      </c>
      <c r="E145" s="9" t="s">
        <v>62</v>
      </c>
      <c r="F145" s="9" t="s">
        <v>52</v>
      </c>
      <c r="G145" s="10">
        <v>4</v>
      </c>
      <c r="H145" s="11">
        <v>117000</v>
      </c>
      <c r="I145" s="11">
        <v>118800</v>
      </c>
    </row>
    <row r="146" spans="1:9" x14ac:dyDescent="0.35">
      <c r="A146" s="4">
        <v>46160</v>
      </c>
      <c r="B146" s="5" t="s">
        <v>67</v>
      </c>
      <c r="C146" s="5" t="s">
        <v>54</v>
      </c>
      <c r="D146" s="5" t="s">
        <v>21</v>
      </c>
      <c r="E146" s="5" t="s">
        <v>68</v>
      </c>
      <c r="F146" s="5" t="s">
        <v>56</v>
      </c>
      <c r="G146" s="6">
        <v>15</v>
      </c>
      <c r="H146" s="7">
        <v>52000</v>
      </c>
      <c r="I146" s="7">
        <v>58000</v>
      </c>
    </row>
    <row r="147" spans="1:9" x14ac:dyDescent="0.35">
      <c r="A147" s="8">
        <v>46160</v>
      </c>
      <c r="B147" s="9" t="s">
        <v>67</v>
      </c>
      <c r="C147" s="9" t="s">
        <v>54</v>
      </c>
      <c r="D147" s="9" t="s">
        <v>21</v>
      </c>
      <c r="E147" s="9" t="s">
        <v>68</v>
      </c>
      <c r="F147" s="9" t="s">
        <v>56</v>
      </c>
      <c r="G147" s="10">
        <v>15</v>
      </c>
      <c r="H147" s="11">
        <v>52000</v>
      </c>
      <c r="I147" s="11">
        <v>58000</v>
      </c>
    </row>
    <row r="148" spans="1:9" x14ac:dyDescent="0.35">
      <c r="A148" s="4">
        <v>46161</v>
      </c>
      <c r="B148" s="5" t="s">
        <v>69</v>
      </c>
      <c r="C148" s="5" t="s">
        <v>70</v>
      </c>
      <c r="D148" s="5" t="s">
        <v>26</v>
      </c>
      <c r="E148" s="5" t="s">
        <v>71</v>
      </c>
      <c r="F148" s="5" t="s">
        <v>60</v>
      </c>
      <c r="G148" s="6">
        <v>13</v>
      </c>
      <c r="H148" s="7">
        <v>42000</v>
      </c>
      <c r="I148" s="7">
        <v>47000</v>
      </c>
    </row>
    <row r="149" spans="1:9" x14ac:dyDescent="0.35">
      <c r="A149" s="8">
        <v>46162</v>
      </c>
      <c r="B149" s="9" t="s">
        <v>72</v>
      </c>
      <c r="C149" s="9" t="s">
        <v>15</v>
      </c>
      <c r="D149" s="9" t="s">
        <v>31</v>
      </c>
      <c r="E149" s="9" t="s">
        <v>42</v>
      </c>
      <c r="F149" s="9" t="s">
        <v>63</v>
      </c>
      <c r="G149" s="10">
        <v>12</v>
      </c>
      <c r="H149" s="11">
        <v>71000</v>
      </c>
      <c r="I149" s="11">
        <v>74000</v>
      </c>
    </row>
    <row r="150" spans="1:9" x14ac:dyDescent="0.35">
      <c r="A150" s="4">
        <v>46163</v>
      </c>
      <c r="B150" s="5" t="s">
        <v>73</v>
      </c>
      <c r="C150" s="5" t="s">
        <v>74</v>
      </c>
      <c r="D150" s="5" t="s">
        <v>11</v>
      </c>
      <c r="E150" s="5" t="s">
        <v>75</v>
      </c>
      <c r="F150" s="5" t="s">
        <v>13</v>
      </c>
      <c r="G150" s="6">
        <v>5</v>
      </c>
      <c r="H150" s="7">
        <v>58000</v>
      </c>
      <c r="I150" s="7">
        <v>64000</v>
      </c>
    </row>
    <row r="151" spans="1:9" x14ac:dyDescent="0.35">
      <c r="A151" s="8">
        <v>46164</v>
      </c>
      <c r="B151" s="9" t="s">
        <v>76</v>
      </c>
      <c r="C151" s="9" t="s">
        <v>10</v>
      </c>
      <c r="D151" s="9" t="s">
        <v>16</v>
      </c>
      <c r="E151" s="9" t="s">
        <v>12</v>
      </c>
      <c r="F151" s="9" t="s">
        <v>18</v>
      </c>
      <c r="G151" s="10">
        <v>10</v>
      </c>
      <c r="H151" s="11">
        <v>92000</v>
      </c>
      <c r="I151" s="11">
        <v>93800</v>
      </c>
    </row>
    <row r="152" spans="1:9" x14ac:dyDescent="0.35">
      <c r="A152" s="4">
        <v>46165</v>
      </c>
      <c r="B152" s="5" t="s">
        <v>77</v>
      </c>
      <c r="C152" s="5" t="s">
        <v>41</v>
      </c>
      <c r="D152" s="5" t="s">
        <v>21</v>
      </c>
      <c r="E152" s="5" t="s">
        <v>62</v>
      </c>
      <c r="F152" s="5" t="s">
        <v>23</v>
      </c>
      <c r="G152" s="6">
        <v>4</v>
      </c>
      <c r="H152" s="7">
        <v>116000</v>
      </c>
      <c r="I152" s="7">
        <v>117800</v>
      </c>
    </row>
    <row r="153" spans="1:9" x14ac:dyDescent="0.35">
      <c r="A153" s="8">
        <v>46166</v>
      </c>
      <c r="B153" s="9" t="s">
        <v>78</v>
      </c>
      <c r="C153" s="9" t="s">
        <v>35</v>
      </c>
      <c r="D153" s="9" t="s">
        <v>26</v>
      </c>
      <c r="E153" s="9" t="s">
        <v>55</v>
      </c>
      <c r="F153" s="9" t="s">
        <v>28</v>
      </c>
      <c r="G153" s="10">
        <v>6</v>
      </c>
      <c r="H153" s="11">
        <v>132000</v>
      </c>
      <c r="I153" s="11">
        <v>133800</v>
      </c>
    </row>
    <row r="154" spans="1:9" x14ac:dyDescent="0.35">
      <c r="A154" s="4">
        <v>46167</v>
      </c>
      <c r="B154" s="5" t="s">
        <v>9</v>
      </c>
      <c r="C154" s="5" t="s">
        <v>10</v>
      </c>
      <c r="D154" s="5" t="s">
        <v>31</v>
      </c>
      <c r="E154" s="5" t="s">
        <v>12</v>
      </c>
      <c r="F154" s="5" t="s">
        <v>33</v>
      </c>
      <c r="G154" s="6">
        <v>6</v>
      </c>
      <c r="H154" s="7">
        <v>136000</v>
      </c>
      <c r="I154" s="7">
        <v>137800</v>
      </c>
    </row>
    <row r="155" spans="1:9" x14ac:dyDescent="0.35">
      <c r="A155" s="8">
        <v>46167</v>
      </c>
      <c r="B155" s="9" t="s">
        <v>9</v>
      </c>
      <c r="C155" s="9" t="s">
        <v>10</v>
      </c>
      <c r="D155" s="9" t="s">
        <v>31</v>
      </c>
      <c r="E155" s="9" t="s">
        <v>12</v>
      </c>
      <c r="F155" s="9" t="s">
        <v>33</v>
      </c>
      <c r="G155" s="10">
        <v>6</v>
      </c>
      <c r="H155" s="11">
        <v>136000</v>
      </c>
      <c r="I155" s="11">
        <v>137800</v>
      </c>
    </row>
    <row r="156" spans="1:9" x14ac:dyDescent="0.35">
      <c r="A156" s="4">
        <v>46168</v>
      </c>
      <c r="B156" s="5" t="s">
        <v>14</v>
      </c>
      <c r="C156" s="5" t="s">
        <v>15</v>
      </c>
      <c r="D156" s="5" t="s">
        <v>11</v>
      </c>
      <c r="E156" s="5" t="s">
        <v>17</v>
      </c>
      <c r="F156" s="5" t="s">
        <v>37</v>
      </c>
      <c r="G156" s="6">
        <v>12</v>
      </c>
      <c r="H156" s="7">
        <v>56000</v>
      </c>
      <c r="I156" s="7">
        <v>62000</v>
      </c>
    </row>
    <row r="157" spans="1:9" x14ac:dyDescent="0.35">
      <c r="A157" s="8">
        <v>46169</v>
      </c>
      <c r="B157" s="9" t="s">
        <v>19</v>
      </c>
      <c r="C157" s="9" t="s">
        <v>20</v>
      </c>
      <c r="D157" s="9" t="s">
        <v>16</v>
      </c>
      <c r="E157" s="9" t="s">
        <v>22</v>
      </c>
      <c r="F157" s="9" t="s">
        <v>39</v>
      </c>
      <c r="G157" s="10">
        <v>5</v>
      </c>
      <c r="H157" s="11">
        <v>46000</v>
      </c>
      <c r="I157" s="11">
        <v>51000</v>
      </c>
    </row>
    <row r="158" spans="1:9" x14ac:dyDescent="0.35">
      <c r="A158" s="4">
        <v>46170</v>
      </c>
      <c r="B158" s="5" t="s">
        <v>24</v>
      </c>
      <c r="C158" s="5" t="s">
        <v>25</v>
      </c>
      <c r="D158" s="5" t="s">
        <v>21</v>
      </c>
      <c r="E158" s="5" t="s">
        <v>27</v>
      </c>
      <c r="F158" s="5" t="s">
        <v>43</v>
      </c>
      <c r="G158" s="6">
        <v>5</v>
      </c>
      <c r="H158" s="7">
        <v>65000</v>
      </c>
      <c r="I158" s="7">
        <v>71500</v>
      </c>
    </row>
    <row r="159" spans="1:9" x14ac:dyDescent="0.35">
      <c r="A159" s="8">
        <v>46171</v>
      </c>
      <c r="B159" s="9" t="s">
        <v>29</v>
      </c>
      <c r="C159" s="9" t="s">
        <v>30</v>
      </c>
      <c r="D159" s="9" t="s">
        <v>26</v>
      </c>
      <c r="E159" s="9" t="s">
        <v>32</v>
      </c>
      <c r="F159" s="9" t="s">
        <v>45</v>
      </c>
      <c r="G159" s="10">
        <v>14</v>
      </c>
      <c r="H159" s="11">
        <v>68000</v>
      </c>
      <c r="I159" s="11">
        <v>74500</v>
      </c>
    </row>
    <row r="160" spans="1:9" x14ac:dyDescent="0.35">
      <c r="A160" s="4">
        <v>46172</v>
      </c>
      <c r="B160" s="5" t="s">
        <v>34</v>
      </c>
      <c r="C160" s="5" t="s">
        <v>35</v>
      </c>
      <c r="D160" s="5" t="s">
        <v>31</v>
      </c>
      <c r="E160" s="5" t="s">
        <v>36</v>
      </c>
      <c r="F160" s="5" t="s">
        <v>48</v>
      </c>
      <c r="G160" s="6">
        <v>11</v>
      </c>
      <c r="H160" s="7">
        <v>99000</v>
      </c>
      <c r="I160" s="7">
        <v>100800</v>
      </c>
    </row>
    <row r="161" spans="1:9" x14ac:dyDescent="0.35">
      <c r="A161" s="8">
        <v>46173</v>
      </c>
      <c r="B161" s="9" t="s">
        <v>38</v>
      </c>
      <c r="C161" s="9" t="s">
        <v>10</v>
      </c>
      <c r="D161" s="9" t="s">
        <v>11</v>
      </c>
      <c r="E161" s="9" t="s">
        <v>12</v>
      </c>
      <c r="F161" s="9" t="s">
        <v>52</v>
      </c>
      <c r="G161" s="10">
        <v>14</v>
      </c>
      <c r="H161" s="11">
        <v>97000</v>
      </c>
      <c r="I161" s="11">
        <v>98800</v>
      </c>
    </row>
    <row r="162" spans="1:9" x14ac:dyDescent="0.35">
      <c r="A162" s="4">
        <v>46174</v>
      </c>
      <c r="B162" s="5" t="s">
        <v>40</v>
      </c>
      <c r="C162" s="5" t="s">
        <v>41</v>
      </c>
      <c r="D162" s="5" t="s">
        <v>16</v>
      </c>
      <c r="E162" s="5" t="s">
        <v>42</v>
      </c>
      <c r="F162" s="5" t="s">
        <v>56</v>
      </c>
      <c r="G162" s="6">
        <v>4</v>
      </c>
      <c r="H162" s="7">
        <v>133000</v>
      </c>
      <c r="I162" s="7">
        <v>134800</v>
      </c>
    </row>
    <row r="163" spans="1:9" x14ac:dyDescent="0.35">
      <c r="A163" s="8">
        <v>46175</v>
      </c>
      <c r="B163" s="9" t="s">
        <v>44</v>
      </c>
      <c r="C163" s="9" t="s">
        <v>35</v>
      </c>
      <c r="D163" s="9" t="s">
        <v>21</v>
      </c>
      <c r="E163" s="9" t="s">
        <v>36</v>
      </c>
      <c r="F163" s="9" t="s">
        <v>60</v>
      </c>
      <c r="G163" s="10">
        <v>10</v>
      </c>
      <c r="H163" s="11">
        <v>121000</v>
      </c>
      <c r="I163" s="11">
        <v>122800</v>
      </c>
    </row>
    <row r="164" spans="1:9" x14ac:dyDescent="0.35">
      <c r="A164" s="4">
        <v>46176</v>
      </c>
      <c r="B164" s="5" t="s">
        <v>46</v>
      </c>
      <c r="C164" s="5" t="s">
        <v>25</v>
      </c>
      <c r="D164" s="5" t="s">
        <v>26</v>
      </c>
      <c r="E164" s="5" t="s">
        <v>47</v>
      </c>
      <c r="F164" s="5" t="s">
        <v>63</v>
      </c>
      <c r="G164" s="6">
        <v>15</v>
      </c>
      <c r="H164" s="7">
        <v>54000</v>
      </c>
      <c r="I164" s="7">
        <v>60000</v>
      </c>
    </row>
    <row r="165" spans="1:9" x14ac:dyDescent="0.35">
      <c r="A165" s="8">
        <v>46177</v>
      </c>
      <c r="B165" s="9" t="s">
        <v>49</v>
      </c>
      <c r="C165" s="9" t="s">
        <v>50</v>
      </c>
      <c r="D165" s="9" t="s">
        <v>31</v>
      </c>
      <c r="E165" s="9" t="s">
        <v>51</v>
      </c>
      <c r="F165" s="9" t="s">
        <v>13</v>
      </c>
      <c r="G165" s="10">
        <v>10</v>
      </c>
      <c r="H165" s="11">
        <v>42000</v>
      </c>
      <c r="I165" s="11">
        <v>47000</v>
      </c>
    </row>
    <row r="166" spans="1:9" x14ac:dyDescent="0.35">
      <c r="A166" s="4">
        <v>46178</v>
      </c>
      <c r="B166" s="5" t="s">
        <v>53</v>
      </c>
      <c r="C166" s="5" t="s">
        <v>54</v>
      </c>
      <c r="D166" s="5" t="s">
        <v>11</v>
      </c>
      <c r="E166" s="5" t="s">
        <v>55</v>
      </c>
      <c r="F166" s="5" t="s">
        <v>18</v>
      </c>
      <c r="G166" s="6">
        <v>8</v>
      </c>
      <c r="H166" s="7">
        <v>63000</v>
      </c>
      <c r="I166" s="7">
        <v>69500</v>
      </c>
    </row>
    <row r="167" spans="1:9" x14ac:dyDescent="0.35">
      <c r="A167" s="8">
        <v>46178</v>
      </c>
      <c r="B167" s="9" t="s">
        <v>53</v>
      </c>
      <c r="C167" s="9" t="s">
        <v>54</v>
      </c>
      <c r="D167" s="9" t="s">
        <v>11</v>
      </c>
      <c r="E167" s="9" t="s">
        <v>55</v>
      </c>
      <c r="F167" s="9" t="s">
        <v>18</v>
      </c>
      <c r="G167" s="10">
        <v>8</v>
      </c>
      <c r="H167" s="11">
        <v>63000</v>
      </c>
      <c r="I167" s="11">
        <v>69500</v>
      </c>
    </row>
    <row r="168" spans="1:9" x14ac:dyDescent="0.35">
      <c r="A168" s="4">
        <v>46179</v>
      </c>
      <c r="B168" s="5" t="s">
        <v>57</v>
      </c>
      <c r="C168" s="5" t="s">
        <v>58</v>
      </c>
      <c r="D168" s="5" t="s">
        <v>16</v>
      </c>
      <c r="E168" s="5" t="s">
        <v>59</v>
      </c>
      <c r="F168" s="5" t="s">
        <v>23</v>
      </c>
      <c r="G168" s="6">
        <v>12</v>
      </c>
      <c r="H168" s="7">
        <v>55000</v>
      </c>
      <c r="I168" s="7">
        <v>61000</v>
      </c>
    </row>
    <row r="169" spans="1:9" x14ac:dyDescent="0.35">
      <c r="A169" s="8">
        <v>46180</v>
      </c>
      <c r="B169" s="9" t="s">
        <v>61</v>
      </c>
      <c r="C169" s="9" t="s">
        <v>41</v>
      </c>
      <c r="D169" s="9" t="s">
        <v>21</v>
      </c>
      <c r="E169" s="9" t="s">
        <v>62</v>
      </c>
      <c r="F169" s="9" t="s">
        <v>28</v>
      </c>
      <c r="G169" s="10">
        <v>7</v>
      </c>
      <c r="H169" s="11">
        <v>97000</v>
      </c>
      <c r="I169" s="11">
        <v>98800</v>
      </c>
    </row>
    <row r="170" spans="1:9" x14ac:dyDescent="0.35">
      <c r="A170" s="4">
        <v>46181</v>
      </c>
      <c r="B170" s="5" t="s">
        <v>64</v>
      </c>
      <c r="C170" s="5" t="s">
        <v>35</v>
      </c>
      <c r="D170" s="5" t="s">
        <v>26</v>
      </c>
      <c r="E170" s="5" t="s">
        <v>36</v>
      </c>
      <c r="F170" s="5" t="s">
        <v>33</v>
      </c>
      <c r="G170" s="6">
        <v>5</v>
      </c>
      <c r="H170" s="7">
        <v>101000</v>
      </c>
      <c r="I170" s="7">
        <v>102800</v>
      </c>
    </row>
    <row r="171" spans="1:9" x14ac:dyDescent="0.35">
      <c r="A171" s="8">
        <v>46182</v>
      </c>
      <c r="B171" s="9" t="s">
        <v>65</v>
      </c>
      <c r="C171" s="9" t="s">
        <v>10</v>
      </c>
      <c r="D171" s="9" t="s">
        <v>31</v>
      </c>
      <c r="E171" s="9" t="s">
        <v>27</v>
      </c>
      <c r="F171" s="9" t="s">
        <v>37</v>
      </c>
      <c r="G171" s="10">
        <v>12</v>
      </c>
      <c r="H171" s="11">
        <v>138000</v>
      </c>
      <c r="I171" s="11">
        <v>139800</v>
      </c>
    </row>
    <row r="172" spans="1:9" x14ac:dyDescent="0.35">
      <c r="A172" s="4">
        <v>46183</v>
      </c>
      <c r="B172" s="5" t="s">
        <v>66</v>
      </c>
      <c r="C172" s="5" t="s">
        <v>41</v>
      </c>
      <c r="D172" s="5" t="s">
        <v>11</v>
      </c>
      <c r="E172" s="5" t="s">
        <v>62</v>
      </c>
      <c r="F172" s="5" t="s">
        <v>39</v>
      </c>
      <c r="G172" s="6">
        <v>7</v>
      </c>
      <c r="H172" s="7">
        <v>131000</v>
      </c>
      <c r="I172" s="7">
        <v>132800</v>
      </c>
    </row>
    <row r="173" spans="1:9" x14ac:dyDescent="0.35">
      <c r="A173" s="8">
        <v>46184</v>
      </c>
      <c r="B173" s="9" t="s">
        <v>67</v>
      </c>
      <c r="C173" s="9" t="s">
        <v>54</v>
      </c>
      <c r="D173" s="9" t="s">
        <v>16</v>
      </c>
      <c r="E173" s="9" t="s">
        <v>68</v>
      </c>
      <c r="F173" s="9" t="s">
        <v>43</v>
      </c>
      <c r="G173" s="10">
        <v>10</v>
      </c>
      <c r="H173" s="11">
        <v>50000</v>
      </c>
      <c r="I173" s="11">
        <v>55000</v>
      </c>
    </row>
    <row r="174" spans="1:9" x14ac:dyDescent="0.35">
      <c r="A174" s="4">
        <v>46185</v>
      </c>
      <c r="B174" s="5" t="s">
        <v>69</v>
      </c>
      <c r="C174" s="5" t="s">
        <v>70</v>
      </c>
      <c r="D174" s="5" t="s">
        <v>21</v>
      </c>
      <c r="E174" s="5" t="s">
        <v>71</v>
      </c>
      <c r="F174" s="5" t="s">
        <v>45</v>
      </c>
      <c r="G174" s="6">
        <v>8</v>
      </c>
      <c r="H174" s="7">
        <v>40000</v>
      </c>
      <c r="I174" s="7">
        <v>45000</v>
      </c>
    </row>
    <row r="175" spans="1:9" x14ac:dyDescent="0.35">
      <c r="A175" s="8">
        <v>46186</v>
      </c>
      <c r="B175" s="9" t="s">
        <v>72</v>
      </c>
      <c r="C175" s="9" t="s">
        <v>15</v>
      </c>
      <c r="D175" s="9" t="s">
        <v>26</v>
      </c>
      <c r="E175" s="9" t="s">
        <v>42</v>
      </c>
      <c r="F175" s="9" t="s">
        <v>48</v>
      </c>
      <c r="G175" s="10">
        <v>10</v>
      </c>
      <c r="H175" s="11">
        <v>53000</v>
      </c>
      <c r="I175" s="11">
        <v>59000</v>
      </c>
    </row>
    <row r="176" spans="1:9" x14ac:dyDescent="0.35">
      <c r="A176" s="4">
        <v>46187</v>
      </c>
      <c r="B176" s="5" t="s">
        <v>73</v>
      </c>
      <c r="C176" s="5" t="s">
        <v>74</v>
      </c>
      <c r="D176" s="5" t="s">
        <v>31</v>
      </c>
      <c r="E176" s="5" t="s">
        <v>75</v>
      </c>
      <c r="F176" s="5" t="s">
        <v>52</v>
      </c>
      <c r="G176" s="6">
        <v>15</v>
      </c>
      <c r="H176" s="7">
        <v>61000</v>
      </c>
      <c r="I176" s="7">
        <v>67500</v>
      </c>
    </row>
    <row r="177" spans="1:9" x14ac:dyDescent="0.35">
      <c r="A177" s="8">
        <v>46188</v>
      </c>
      <c r="B177" s="9" t="s">
        <v>76</v>
      </c>
      <c r="C177" s="9" t="s">
        <v>10</v>
      </c>
      <c r="D177" s="9" t="s">
        <v>11</v>
      </c>
      <c r="E177" s="9" t="s">
        <v>12</v>
      </c>
      <c r="F177" s="9" t="s">
        <v>56</v>
      </c>
      <c r="G177" s="10">
        <v>9</v>
      </c>
      <c r="H177" s="11">
        <v>90000</v>
      </c>
      <c r="I177" s="11">
        <v>91800</v>
      </c>
    </row>
    <row r="178" spans="1:9" x14ac:dyDescent="0.35">
      <c r="A178" s="4">
        <v>46189</v>
      </c>
      <c r="B178" s="5" t="s">
        <v>77</v>
      </c>
      <c r="C178" s="5" t="s">
        <v>41</v>
      </c>
      <c r="D178" s="5" t="s">
        <v>16</v>
      </c>
      <c r="E178" s="5" t="s">
        <v>62</v>
      </c>
      <c r="F178" s="5" t="s">
        <v>60</v>
      </c>
      <c r="G178" s="6">
        <v>10</v>
      </c>
      <c r="H178" s="7">
        <v>91000</v>
      </c>
      <c r="I178" s="7">
        <v>92800</v>
      </c>
    </row>
    <row r="179" spans="1:9" x14ac:dyDescent="0.35">
      <c r="A179" s="8">
        <v>46190</v>
      </c>
      <c r="B179" s="9" t="s">
        <v>78</v>
      </c>
      <c r="C179" s="9" t="s">
        <v>35</v>
      </c>
      <c r="D179" s="9" t="s">
        <v>21</v>
      </c>
      <c r="E179" s="9" t="s">
        <v>55</v>
      </c>
      <c r="F179" s="9" t="s">
        <v>63</v>
      </c>
      <c r="G179" s="10">
        <v>6</v>
      </c>
      <c r="H179" s="11">
        <v>131000</v>
      </c>
      <c r="I179" s="11">
        <v>132800</v>
      </c>
    </row>
    <row r="180" spans="1:9" x14ac:dyDescent="0.35">
      <c r="A180" s="4">
        <v>46191</v>
      </c>
      <c r="B180" s="5" t="s">
        <v>9</v>
      </c>
      <c r="C180" s="5" t="s">
        <v>10</v>
      </c>
      <c r="D180" s="5" t="s">
        <v>26</v>
      </c>
      <c r="E180" s="5" t="s">
        <v>12</v>
      </c>
      <c r="F180" s="5" t="s">
        <v>13</v>
      </c>
      <c r="G180" s="6">
        <v>9</v>
      </c>
      <c r="H180" s="7">
        <v>129000</v>
      </c>
      <c r="I180" s="7">
        <v>130800</v>
      </c>
    </row>
    <row r="181" spans="1:9" x14ac:dyDescent="0.35">
      <c r="A181" s="8">
        <v>46192</v>
      </c>
      <c r="B181" s="9" t="s">
        <v>14</v>
      </c>
      <c r="C181" s="9" t="s">
        <v>15</v>
      </c>
      <c r="D181" s="9" t="s">
        <v>31</v>
      </c>
      <c r="E181" s="9" t="s">
        <v>17</v>
      </c>
      <c r="F181" s="9" t="s">
        <v>18</v>
      </c>
      <c r="G181" s="10">
        <v>8</v>
      </c>
      <c r="H181" s="11">
        <v>62000</v>
      </c>
      <c r="I181" s="11">
        <v>68500</v>
      </c>
    </row>
    <row r="182" spans="1:9" x14ac:dyDescent="0.35">
      <c r="A182" s="4">
        <v>46193</v>
      </c>
      <c r="B182" s="5" t="s">
        <v>19</v>
      </c>
      <c r="C182" s="5" t="s">
        <v>20</v>
      </c>
      <c r="D182" s="5" t="s">
        <v>11</v>
      </c>
      <c r="E182" s="5" t="s">
        <v>22</v>
      </c>
      <c r="F182" s="5" t="s">
        <v>23</v>
      </c>
      <c r="G182" s="6">
        <v>4</v>
      </c>
      <c r="H182" s="7">
        <v>42000</v>
      </c>
      <c r="I182" s="7">
        <v>47000</v>
      </c>
    </row>
    <row r="183" spans="1:9" x14ac:dyDescent="0.35">
      <c r="A183" s="8">
        <v>46194</v>
      </c>
      <c r="B183" s="9" t="s">
        <v>24</v>
      </c>
      <c r="C183" s="9" t="s">
        <v>25</v>
      </c>
      <c r="D183" s="9" t="s">
        <v>16</v>
      </c>
      <c r="E183" s="9" t="s">
        <v>27</v>
      </c>
      <c r="F183" s="9" t="s">
        <v>28</v>
      </c>
      <c r="G183" s="10">
        <v>6</v>
      </c>
      <c r="H183" s="11">
        <v>58000</v>
      </c>
      <c r="I183" s="11">
        <v>64000</v>
      </c>
    </row>
    <row r="184" spans="1:9" x14ac:dyDescent="0.35">
      <c r="A184" s="4">
        <v>46195</v>
      </c>
      <c r="B184" s="5" t="s">
        <v>29</v>
      </c>
      <c r="C184" s="5" t="s">
        <v>30</v>
      </c>
      <c r="D184" s="5" t="s">
        <v>21</v>
      </c>
      <c r="E184" s="5" t="s">
        <v>32</v>
      </c>
      <c r="F184" s="5" t="s">
        <v>33</v>
      </c>
      <c r="G184" s="6">
        <v>7</v>
      </c>
      <c r="H184" s="7">
        <v>76000</v>
      </c>
      <c r="I184" s="7">
        <v>79000</v>
      </c>
    </row>
    <row r="185" spans="1:9" x14ac:dyDescent="0.35">
      <c r="A185" s="8">
        <v>46196</v>
      </c>
      <c r="B185" s="9" t="s">
        <v>34</v>
      </c>
      <c r="C185" s="9" t="s">
        <v>35</v>
      </c>
      <c r="D185" s="9" t="s">
        <v>26</v>
      </c>
      <c r="E185" s="9" t="s">
        <v>36</v>
      </c>
      <c r="F185" s="9" t="s">
        <v>37</v>
      </c>
      <c r="G185" s="10">
        <v>10</v>
      </c>
      <c r="H185" s="11">
        <v>111000</v>
      </c>
      <c r="I185" s="11">
        <v>112800</v>
      </c>
    </row>
    <row r="186" spans="1:9" x14ac:dyDescent="0.35">
      <c r="A186" s="4">
        <v>46197</v>
      </c>
      <c r="B186" s="5" t="s">
        <v>38</v>
      </c>
      <c r="C186" s="5" t="s">
        <v>10</v>
      </c>
      <c r="D186" s="5" t="s">
        <v>31</v>
      </c>
      <c r="E186" s="5" t="s">
        <v>12</v>
      </c>
      <c r="F186" s="5" t="s">
        <v>39</v>
      </c>
      <c r="G186" s="6">
        <v>6</v>
      </c>
      <c r="H186" s="7">
        <v>95000</v>
      </c>
      <c r="I186" s="7">
        <v>96800</v>
      </c>
    </row>
    <row r="187" spans="1:9" x14ac:dyDescent="0.35">
      <c r="A187" s="8">
        <v>46198</v>
      </c>
      <c r="B187" s="9" t="s">
        <v>40</v>
      </c>
      <c r="C187" s="9" t="s">
        <v>41</v>
      </c>
      <c r="D187" s="9" t="s">
        <v>11</v>
      </c>
      <c r="E187" s="9" t="s">
        <v>42</v>
      </c>
      <c r="F187" s="9" t="s">
        <v>43</v>
      </c>
      <c r="G187" s="10">
        <v>7</v>
      </c>
      <c r="H187" s="11">
        <v>103000</v>
      </c>
      <c r="I187" s="11">
        <v>104800</v>
      </c>
    </row>
    <row r="188" spans="1:9" x14ac:dyDescent="0.35">
      <c r="A188" s="4">
        <v>46199</v>
      </c>
      <c r="B188" s="5" t="s">
        <v>44</v>
      </c>
      <c r="C188" s="5" t="s">
        <v>35</v>
      </c>
      <c r="D188" s="5" t="s">
        <v>16</v>
      </c>
      <c r="E188" s="5" t="s">
        <v>36</v>
      </c>
      <c r="F188" s="5" t="s">
        <v>45</v>
      </c>
      <c r="G188" s="6">
        <v>8</v>
      </c>
      <c r="H188" s="7">
        <v>130000</v>
      </c>
      <c r="I188" s="7">
        <v>131800</v>
      </c>
    </row>
    <row r="189" spans="1:9" x14ac:dyDescent="0.35">
      <c r="A189" s="8">
        <v>46200</v>
      </c>
      <c r="B189" s="9" t="s">
        <v>46</v>
      </c>
      <c r="C189" s="9" t="s">
        <v>25</v>
      </c>
      <c r="D189" s="9" t="s">
        <v>21</v>
      </c>
      <c r="E189" s="9" t="s">
        <v>47</v>
      </c>
      <c r="F189" s="9" t="s">
        <v>48</v>
      </c>
      <c r="G189" s="10">
        <v>3</v>
      </c>
      <c r="H189" s="11">
        <v>54000</v>
      </c>
      <c r="I189" s="11">
        <v>60000</v>
      </c>
    </row>
    <row r="190" spans="1:9" x14ac:dyDescent="0.35">
      <c r="A190" s="4">
        <v>46201</v>
      </c>
      <c r="B190" s="5" t="s">
        <v>49</v>
      </c>
      <c r="C190" s="5" t="s">
        <v>50</v>
      </c>
      <c r="D190" s="5" t="s">
        <v>26</v>
      </c>
      <c r="E190" s="5" t="s">
        <v>51</v>
      </c>
      <c r="F190" s="5" t="s">
        <v>52</v>
      </c>
      <c r="G190" s="6">
        <v>15</v>
      </c>
      <c r="H190" s="7">
        <v>39000</v>
      </c>
      <c r="I190" s="7">
        <v>44000</v>
      </c>
    </row>
    <row r="191" spans="1:9" x14ac:dyDescent="0.35">
      <c r="A191" s="8">
        <v>46202</v>
      </c>
      <c r="B191" s="9" t="s">
        <v>53</v>
      </c>
      <c r="C191" s="9" t="s">
        <v>54</v>
      </c>
      <c r="D191" s="9" t="s">
        <v>31</v>
      </c>
      <c r="E191" s="9" t="s">
        <v>55</v>
      </c>
      <c r="F191" s="9" t="s">
        <v>56</v>
      </c>
      <c r="G191" s="10">
        <v>13</v>
      </c>
      <c r="H191" s="11">
        <v>53000</v>
      </c>
      <c r="I191" s="11">
        <v>59000</v>
      </c>
    </row>
    <row r="192" spans="1:9" x14ac:dyDescent="0.35">
      <c r="A192" s="4">
        <v>46203</v>
      </c>
      <c r="B192" s="5" t="s">
        <v>57</v>
      </c>
      <c r="C192" s="5" t="s">
        <v>58</v>
      </c>
      <c r="D192" s="5" t="s">
        <v>11</v>
      </c>
      <c r="E192" s="5" t="s">
        <v>59</v>
      </c>
      <c r="F192" s="5" t="s">
        <v>60</v>
      </c>
      <c r="G192" s="6">
        <v>15</v>
      </c>
      <c r="H192" s="7">
        <v>62000</v>
      </c>
      <c r="I192" s="7">
        <v>68500</v>
      </c>
    </row>
    <row r="193" spans="1:9" x14ac:dyDescent="0.35">
      <c r="A193" s="8">
        <v>46204</v>
      </c>
      <c r="B193" s="9" t="s">
        <v>61</v>
      </c>
      <c r="C193" s="9" t="s">
        <v>41</v>
      </c>
      <c r="D193" s="9" t="s">
        <v>16</v>
      </c>
      <c r="E193" s="9" t="s">
        <v>62</v>
      </c>
      <c r="F193" s="9" t="s">
        <v>63</v>
      </c>
      <c r="G193" s="10">
        <v>9</v>
      </c>
      <c r="H193" s="11">
        <v>93000</v>
      </c>
      <c r="I193" s="11">
        <v>94800</v>
      </c>
    </row>
    <row r="194" spans="1:9" x14ac:dyDescent="0.35">
      <c r="A194" s="4">
        <v>46205</v>
      </c>
      <c r="B194" s="5" t="s">
        <v>64</v>
      </c>
      <c r="C194" s="5" t="s">
        <v>35</v>
      </c>
      <c r="D194" s="5" t="s">
        <v>21</v>
      </c>
      <c r="E194" s="5" t="s">
        <v>36</v>
      </c>
      <c r="F194" s="5" t="s">
        <v>13</v>
      </c>
      <c r="G194" s="6">
        <v>7</v>
      </c>
      <c r="H194" s="7">
        <v>97000</v>
      </c>
      <c r="I194" s="7">
        <v>98800</v>
      </c>
    </row>
    <row r="195" spans="1:9" x14ac:dyDescent="0.35">
      <c r="A195" s="8">
        <v>46206</v>
      </c>
      <c r="B195" s="9" t="s">
        <v>65</v>
      </c>
      <c r="C195" s="9" t="s">
        <v>10</v>
      </c>
      <c r="D195" s="9" t="s">
        <v>26</v>
      </c>
      <c r="E195" s="9" t="s">
        <v>27</v>
      </c>
      <c r="F195" s="9" t="s">
        <v>18</v>
      </c>
      <c r="G195" s="10">
        <v>13</v>
      </c>
      <c r="H195" s="11">
        <v>100000</v>
      </c>
      <c r="I195" s="11">
        <v>101800</v>
      </c>
    </row>
    <row r="196" spans="1:9" x14ac:dyDescent="0.35">
      <c r="A196" s="4">
        <v>46207</v>
      </c>
      <c r="B196" s="5" t="s">
        <v>66</v>
      </c>
      <c r="C196" s="5" t="s">
        <v>41</v>
      </c>
      <c r="D196" s="5" t="s">
        <v>31</v>
      </c>
      <c r="E196" s="5" t="s">
        <v>62</v>
      </c>
      <c r="F196" s="5" t="s">
        <v>23</v>
      </c>
      <c r="G196" s="6">
        <v>8</v>
      </c>
      <c r="H196" s="7">
        <v>120000</v>
      </c>
      <c r="I196" s="7">
        <v>121800</v>
      </c>
    </row>
    <row r="197" spans="1:9" x14ac:dyDescent="0.35">
      <c r="A197" s="8">
        <v>46208</v>
      </c>
      <c r="B197" s="9" t="s">
        <v>67</v>
      </c>
      <c r="C197" s="9" t="s">
        <v>54</v>
      </c>
      <c r="D197" s="9" t="s">
        <v>11</v>
      </c>
      <c r="E197" s="9" t="s">
        <v>68</v>
      </c>
      <c r="F197" s="9" t="s">
        <v>28</v>
      </c>
      <c r="G197" s="10">
        <v>7</v>
      </c>
      <c r="H197" s="11">
        <v>59000</v>
      </c>
      <c r="I197" s="11">
        <v>65000</v>
      </c>
    </row>
    <row r="198" spans="1:9" x14ac:dyDescent="0.35">
      <c r="A198" s="4">
        <v>46208</v>
      </c>
      <c r="B198" s="5" t="s">
        <v>67</v>
      </c>
      <c r="C198" s="5" t="s">
        <v>54</v>
      </c>
      <c r="D198" s="5" t="s">
        <v>11</v>
      </c>
      <c r="E198" s="5" t="s">
        <v>68</v>
      </c>
      <c r="F198" s="5" t="s">
        <v>28</v>
      </c>
      <c r="G198" s="6">
        <v>7</v>
      </c>
      <c r="H198" s="7">
        <v>59000</v>
      </c>
      <c r="I198" s="7">
        <v>65000</v>
      </c>
    </row>
    <row r="199" spans="1:9" x14ac:dyDescent="0.35">
      <c r="A199" s="8">
        <v>46209</v>
      </c>
      <c r="B199" s="9" t="s">
        <v>69</v>
      </c>
      <c r="C199" s="9" t="s">
        <v>70</v>
      </c>
      <c r="D199" s="9" t="s">
        <v>16</v>
      </c>
      <c r="E199" s="9" t="s">
        <v>71</v>
      </c>
      <c r="F199" s="9" t="s">
        <v>33</v>
      </c>
      <c r="G199" s="10">
        <v>5</v>
      </c>
      <c r="H199" s="11">
        <v>45000</v>
      </c>
      <c r="I199" s="11">
        <v>50000</v>
      </c>
    </row>
    <row r="200" spans="1:9" x14ac:dyDescent="0.35">
      <c r="A200" s="4">
        <v>46210</v>
      </c>
      <c r="B200" s="5" t="s">
        <v>72</v>
      </c>
      <c r="C200" s="5" t="s">
        <v>15</v>
      </c>
      <c r="D200" s="5" t="s">
        <v>21</v>
      </c>
      <c r="E200" s="5" t="s">
        <v>42</v>
      </c>
      <c r="F200" s="5" t="s">
        <v>37</v>
      </c>
      <c r="G200" s="6">
        <v>14</v>
      </c>
      <c r="H200" s="7">
        <v>53000</v>
      </c>
      <c r="I200" s="7">
        <v>59000</v>
      </c>
    </row>
    <row r="201" spans="1:9" x14ac:dyDescent="0.35">
      <c r="A201" s="8">
        <v>46211</v>
      </c>
      <c r="B201" s="9" t="s">
        <v>73</v>
      </c>
      <c r="C201" s="9" t="s">
        <v>74</v>
      </c>
      <c r="D201" s="9" t="s">
        <v>26</v>
      </c>
      <c r="E201" s="9" t="s">
        <v>75</v>
      </c>
      <c r="F201" s="9" t="s">
        <v>39</v>
      </c>
      <c r="G201" s="10">
        <v>7</v>
      </c>
      <c r="H201" s="11">
        <v>55000</v>
      </c>
      <c r="I201" s="11">
        <v>61000</v>
      </c>
    </row>
    <row r="202" spans="1:9" x14ac:dyDescent="0.35">
      <c r="A202" s="4">
        <v>46212</v>
      </c>
      <c r="B202" s="5" t="s">
        <v>76</v>
      </c>
      <c r="C202" s="5" t="s">
        <v>10</v>
      </c>
      <c r="D202" s="5" t="s">
        <v>31</v>
      </c>
      <c r="E202" s="5" t="s">
        <v>12</v>
      </c>
      <c r="F202" s="5" t="s">
        <v>43</v>
      </c>
      <c r="G202" s="6">
        <v>5</v>
      </c>
      <c r="H202" s="7">
        <v>90000</v>
      </c>
      <c r="I202" s="7">
        <v>91800</v>
      </c>
    </row>
    <row r="203" spans="1:9" x14ac:dyDescent="0.35">
      <c r="A203" s="8">
        <v>46213</v>
      </c>
      <c r="B203" s="9" t="s">
        <v>77</v>
      </c>
      <c r="C203" s="9" t="s">
        <v>41</v>
      </c>
      <c r="D203" s="9" t="s">
        <v>11</v>
      </c>
      <c r="E203" s="9" t="s">
        <v>62</v>
      </c>
      <c r="F203" s="9" t="s">
        <v>45</v>
      </c>
      <c r="G203" s="10">
        <v>6</v>
      </c>
      <c r="H203" s="11">
        <v>99000</v>
      </c>
      <c r="I203" s="11">
        <v>100800</v>
      </c>
    </row>
    <row r="204" spans="1:9" x14ac:dyDescent="0.35">
      <c r="A204" s="4">
        <v>46214</v>
      </c>
      <c r="B204" s="5" t="s">
        <v>78</v>
      </c>
      <c r="C204" s="5" t="s">
        <v>35</v>
      </c>
      <c r="D204" s="5" t="s">
        <v>16</v>
      </c>
      <c r="E204" s="5" t="s">
        <v>55</v>
      </c>
      <c r="F204" s="5" t="s">
        <v>48</v>
      </c>
      <c r="G204" s="6">
        <v>9</v>
      </c>
      <c r="H204" s="7">
        <v>100000</v>
      </c>
      <c r="I204" s="7">
        <v>101800</v>
      </c>
    </row>
    <row r="205" spans="1:9" x14ac:dyDescent="0.35">
      <c r="A205" s="8">
        <v>46215</v>
      </c>
      <c r="B205" s="9" t="s">
        <v>9</v>
      </c>
      <c r="C205" s="9" t="s">
        <v>10</v>
      </c>
      <c r="D205" s="9" t="s">
        <v>21</v>
      </c>
      <c r="E205" s="9" t="s">
        <v>12</v>
      </c>
      <c r="F205" s="9" t="s">
        <v>52</v>
      </c>
      <c r="G205" s="10">
        <v>5</v>
      </c>
      <c r="H205" s="11">
        <v>101000</v>
      </c>
      <c r="I205" s="11">
        <v>102800</v>
      </c>
    </row>
    <row r="206" spans="1:9" x14ac:dyDescent="0.35">
      <c r="A206" s="4">
        <v>46216</v>
      </c>
      <c r="B206" s="5" t="s">
        <v>14</v>
      </c>
      <c r="C206" s="5" t="s">
        <v>15</v>
      </c>
      <c r="D206" s="5" t="s">
        <v>26</v>
      </c>
      <c r="E206" s="5" t="s">
        <v>17</v>
      </c>
      <c r="F206" s="5" t="s">
        <v>56</v>
      </c>
      <c r="G206" s="6">
        <v>10</v>
      </c>
      <c r="H206" s="7">
        <v>55000</v>
      </c>
      <c r="I206" s="7">
        <v>61000</v>
      </c>
    </row>
    <row r="207" spans="1:9" x14ac:dyDescent="0.35">
      <c r="A207" s="8">
        <v>46217</v>
      </c>
      <c r="B207" s="9" t="s">
        <v>19</v>
      </c>
      <c r="C207" s="9" t="s">
        <v>20</v>
      </c>
      <c r="D207" s="9" t="s">
        <v>31</v>
      </c>
      <c r="E207" s="9" t="s">
        <v>22</v>
      </c>
      <c r="F207" s="9" t="s">
        <v>60</v>
      </c>
      <c r="G207" s="10">
        <v>7</v>
      </c>
      <c r="H207" s="11">
        <v>41000</v>
      </c>
      <c r="I207" s="11">
        <v>46000</v>
      </c>
    </row>
    <row r="208" spans="1:9" x14ac:dyDescent="0.35">
      <c r="A208" s="4">
        <v>46218</v>
      </c>
      <c r="B208" s="5" t="s">
        <v>24</v>
      </c>
      <c r="C208" s="5" t="s">
        <v>25</v>
      </c>
      <c r="D208" s="5" t="s">
        <v>11</v>
      </c>
      <c r="E208" s="5" t="s">
        <v>27</v>
      </c>
      <c r="F208" s="5" t="s">
        <v>63</v>
      </c>
      <c r="G208" s="6">
        <v>4</v>
      </c>
      <c r="H208" s="7">
        <v>71000</v>
      </c>
      <c r="I208" s="7">
        <v>74000</v>
      </c>
    </row>
    <row r="209" spans="1:9" x14ac:dyDescent="0.35">
      <c r="A209" s="8">
        <v>46219</v>
      </c>
      <c r="B209" s="9" t="s">
        <v>29</v>
      </c>
      <c r="C209" s="9" t="s">
        <v>30</v>
      </c>
      <c r="D209" s="9" t="s">
        <v>16</v>
      </c>
      <c r="E209" s="9" t="s">
        <v>32</v>
      </c>
      <c r="F209" s="9" t="s">
        <v>13</v>
      </c>
      <c r="G209" s="10">
        <v>5</v>
      </c>
      <c r="H209" s="11">
        <v>66000</v>
      </c>
      <c r="I209" s="11">
        <v>72500</v>
      </c>
    </row>
    <row r="210" spans="1:9" x14ac:dyDescent="0.35">
      <c r="A210" s="4">
        <v>46220</v>
      </c>
      <c r="B210" s="5" t="s">
        <v>34</v>
      </c>
      <c r="C210" s="5" t="s">
        <v>35</v>
      </c>
      <c r="D210" s="5" t="s">
        <v>21</v>
      </c>
      <c r="E210" s="5" t="s">
        <v>36</v>
      </c>
      <c r="F210" s="5" t="s">
        <v>18</v>
      </c>
      <c r="G210" s="6">
        <v>6</v>
      </c>
      <c r="H210" s="7">
        <v>117000</v>
      </c>
      <c r="I210" s="7">
        <v>118800</v>
      </c>
    </row>
    <row r="211" spans="1:9" x14ac:dyDescent="0.35">
      <c r="A211" s="8">
        <v>46221</v>
      </c>
      <c r="B211" s="9" t="s">
        <v>38</v>
      </c>
      <c r="C211" s="9" t="s">
        <v>10</v>
      </c>
      <c r="D211" s="9" t="s">
        <v>26</v>
      </c>
      <c r="E211" s="9" t="s">
        <v>12</v>
      </c>
      <c r="F211" s="9" t="s">
        <v>23</v>
      </c>
      <c r="G211" s="10">
        <v>4</v>
      </c>
      <c r="H211" s="11">
        <v>88000</v>
      </c>
      <c r="I211" s="11">
        <v>89800</v>
      </c>
    </row>
    <row r="212" spans="1:9" x14ac:dyDescent="0.35">
      <c r="A212" s="4">
        <v>46222</v>
      </c>
      <c r="B212" s="5" t="s">
        <v>40</v>
      </c>
      <c r="C212" s="5" t="s">
        <v>41</v>
      </c>
      <c r="D212" s="5" t="s">
        <v>31</v>
      </c>
      <c r="E212" s="5" t="s">
        <v>42</v>
      </c>
      <c r="F212" s="5" t="s">
        <v>28</v>
      </c>
      <c r="G212" s="6">
        <v>3</v>
      </c>
      <c r="H212" s="7">
        <v>112000</v>
      </c>
      <c r="I212" s="7">
        <v>113800</v>
      </c>
    </row>
    <row r="213" spans="1:9" x14ac:dyDescent="0.35">
      <c r="A213" s="8">
        <v>46223</v>
      </c>
      <c r="B213" s="9" t="s">
        <v>67</v>
      </c>
      <c r="C213" s="9" t="s">
        <v>54</v>
      </c>
      <c r="D213" s="9" t="s">
        <v>16</v>
      </c>
      <c r="E213" s="9" t="s">
        <v>55</v>
      </c>
      <c r="F213" s="9" t="s">
        <v>43</v>
      </c>
      <c r="G213" s="10">
        <v>9</v>
      </c>
      <c r="H213" s="11">
        <v>62000</v>
      </c>
      <c r="I213" s="11">
        <v>68500</v>
      </c>
    </row>
    <row r="214" spans="1:9" x14ac:dyDescent="0.35">
      <c r="A214" s="4">
        <v>46224</v>
      </c>
      <c r="B214" s="5" t="s">
        <v>57</v>
      </c>
      <c r="C214" s="5" t="s">
        <v>58</v>
      </c>
      <c r="D214" s="5" t="s">
        <v>21</v>
      </c>
      <c r="E214" s="5" t="s">
        <v>27</v>
      </c>
      <c r="F214" s="5" t="s">
        <v>63</v>
      </c>
      <c r="G214" s="6">
        <v>11</v>
      </c>
      <c r="H214" s="7">
        <v>62000</v>
      </c>
      <c r="I214" s="7">
        <v>68500</v>
      </c>
    </row>
    <row r="215" spans="1:9" x14ac:dyDescent="0.35">
      <c r="A215" s="8">
        <v>46225</v>
      </c>
      <c r="B215" s="9" t="s">
        <v>29</v>
      </c>
      <c r="C215" s="9" t="s">
        <v>30</v>
      </c>
      <c r="D215" s="9" t="s">
        <v>26</v>
      </c>
      <c r="E215" s="9" t="s">
        <v>42</v>
      </c>
      <c r="F215" s="9" t="s">
        <v>37</v>
      </c>
      <c r="G215" s="10">
        <v>10</v>
      </c>
      <c r="H215" s="11">
        <v>63000</v>
      </c>
      <c r="I215" s="11">
        <v>69500</v>
      </c>
    </row>
    <row r="216" spans="1:9" x14ac:dyDescent="0.35">
      <c r="A216" s="4">
        <v>46226</v>
      </c>
      <c r="B216" s="5" t="s">
        <v>73</v>
      </c>
      <c r="C216" s="5" t="s">
        <v>74</v>
      </c>
      <c r="D216" s="5" t="s">
        <v>16</v>
      </c>
      <c r="E216" s="5" t="s">
        <v>68</v>
      </c>
      <c r="F216" s="5" t="s">
        <v>63</v>
      </c>
      <c r="G216" s="6">
        <v>11</v>
      </c>
      <c r="H216" s="7">
        <v>61000</v>
      </c>
      <c r="I216" s="7">
        <v>67500</v>
      </c>
    </row>
    <row r="217" spans="1:9" x14ac:dyDescent="0.35">
      <c r="A217" s="8">
        <v>46227</v>
      </c>
      <c r="B217" s="9" t="s">
        <v>69</v>
      </c>
      <c r="C217" s="9" t="s">
        <v>70</v>
      </c>
      <c r="D217" s="9" t="s">
        <v>26</v>
      </c>
      <c r="E217" s="9" t="s">
        <v>12</v>
      </c>
      <c r="F217" s="9" t="s">
        <v>48</v>
      </c>
      <c r="G217" s="10">
        <v>2</v>
      </c>
      <c r="H217" s="11">
        <v>44000</v>
      </c>
      <c r="I217" s="11">
        <v>49000</v>
      </c>
    </row>
    <row r="218" spans="1:9" x14ac:dyDescent="0.35">
      <c r="A218" s="4">
        <v>46228</v>
      </c>
      <c r="B218" s="5" t="s">
        <v>61</v>
      </c>
      <c r="C218" s="5" t="s">
        <v>41</v>
      </c>
      <c r="D218" s="5" t="s">
        <v>31</v>
      </c>
      <c r="E218" s="5" t="s">
        <v>62</v>
      </c>
      <c r="F218" s="5" t="s">
        <v>63</v>
      </c>
      <c r="G218" s="6">
        <v>11</v>
      </c>
      <c r="H218" s="7">
        <v>108000</v>
      </c>
      <c r="I218" s="7">
        <v>109800</v>
      </c>
    </row>
    <row r="219" spans="1:9" x14ac:dyDescent="0.35">
      <c r="A219" s="8">
        <v>46229</v>
      </c>
      <c r="B219" s="9" t="s">
        <v>19</v>
      </c>
      <c r="C219" s="9" t="s">
        <v>20</v>
      </c>
      <c r="D219" s="9" t="s">
        <v>31</v>
      </c>
      <c r="E219" s="9" t="s">
        <v>22</v>
      </c>
      <c r="F219" s="9" t="s">
        <v>28</v>
      </c>
      <c r="G219" s="10">
        <v>4</v>
      </c>
      <c r="H219" s="11">
        <v>49000</v>
      </c>
      <c r="I219" s="11">
        <v>54000</v>
      </c>
    </row>
    <row r="220" spans="1:9" x14ac:dyDescent="0.35">
      <c r="A220" s="4">
        <v>46230</v>
      </c>
      <c r="B220" s="5" t="s">
        <v>69</v>
      </c>
      <c r="C220" s="5" t="s">
        <v>70</v>
      </c>
      <c r="D220" s="5" t="s">
        <v>31</v>
      </c>
      <c r="E220" s="5" t="s">
        <v>71</v>
      </c>
      <c r="F220" s="5" t="s">
        <v>13</v>
      </c>
      <c r="G220" s="6">
        <v>2</v>
      </c>
      <c r="H220" s="7">
        <v>42000</v>
      </c>
      <c r="I220" s="7">
        <v>47000</v>
      </c>
    </row>
    <row r="221" spans="1:9" x14ac:dyDescent="0.35">
      <c r="A221" s="8">
        <v>46231</v>
      </c>
      <c r="B221" s="9" t="s">
        <v>49</v>
      </c>
      <c r="C221" s="9" t="s">
        <v>50</v>
      </c>
      <c r="D221" s="9" t="s">
        <v>21</v>
      </c>
      <c r="E221" s="9" t="s">
        <v>51</v>
      </c>
      <c r="F221" s="9" t="s">
        <v>43</v>
      </c>
      <c r="G221" s="10">
        <v>7</v>
      </c>
      <c r="H221" s="11">
        <v>54000</v>
      </c>
      <c r="I221" s="11">
        <v>60000</v>
      </c>
    </row>
    <row r="222" spans="1:9" x14ac:dyDescent="0.35">
      <c r="A222" s="4">
        <v>46232</v>
      </c>
      <c r="B222" s="5" t="s">
        <v>67</v>
      </c>
      <c r="C222" s="5" t="s">
        <v>54</v>
      </c>
      <c r="D222" s="5" t="s">
        <v>31</v>
      </c>
      <c r="E222" s="5" t="s">
        <v>68</v>
      </c>
      <c r="F222" s="5" t="s">
        <v>48</v>
      </c>
      <c r="G222" s="6">
        <v>10</v>
      </c>
      <c r="H222" s="7">
        <v>63000</v>
      </c>
      <c r="I222" s="7">
        <v>69500</v>
      </c>
    </row>
    <row r="223" spans="1:9" x14ac:dyDescent="0.35">
      <c r="A223" s="8">
        <v>46233</v>
      </c>
      <c r="B223" s="9" t="s">
        <v>46</v>
      </c>
      <c r="C223" s="9" t="s">
        <v>25</v>
      </c>
      <c r="D223" s="9" t="s">
        <v>11</v>
      </c>
      <c r="E223" s="9" t="s">
        <v>27</v>
      </c>
      <c r="F223" s="9" t="s">
        <v>33</v>
      </c>
      <c r="G223" s="10">
        <v>6</v>
      </c>
      <c r="H223" s="11">
        <v>50000</v>
      </c>
      <c r="I223" s="11">
        <v>55000</v>
      </c>
    </row>
    <row r="224" spans="1:9" x14ac:dyDescent="0.35">
      <c r="A224" s="4">
        <v>46234</v>
      </c>
      <c r="B224" s="5" t="s">
        <v>29</v>
      </c>
      <c r="C224" s="5" t="s">
        <v>30</v>
      </c>
      <c r="D224" s="5" t="s">
        <v>16</v>
      </c>
      <c r="E224" s="5" t="s">
        <v>62</v>
      </c>
      <c r="F224" s="5" t="s">
        <v>13</v>
      </c>
      <c r="G224" s="6">
        <v>6</v>
      </c>
      <c r="H224" s="7">
        <v>67000</v>
      </c>
      <c r="I224" s="7">
        <v>73500</v>
      </c>
    </row>
    <row r="225" spans="1:9" x14ac:dyDescent="0.35">
      <c r="A225" s="8">
        <v>46235</v>
      </c>
      <c r="B225" s="9" t="s">
        <v>67</v>
      </c>
      <c r="C225" s="9" t="s">
        <v>54</v>
      </c>
      <c r="D225" s="9" t="s">
        <v>31</v>
      </c>
      <c r="E225" s="9" t="s">
        <v>36</v>
      </c>
      <c r="F225" s="9" t="s">
        <v>60</v>
      </c>
      <c r="G225" s="10">
        <v>6</v>
      </c>
      <c r="H225" s="11">
        <v>61000</v>
      </c>
      <c r="I225" s="11">
        <v>67500</v>
      </c>
    </row>
    <row r="226" spans="1:9" x14ac:dyDescent="0.35">
      <c r="A226" s="4">
        <v>46236</v>
      </c>
      <c r="B226" s="5" t="s">
        <v>38</v>
      </c>
      <c r="C226" s="5" t="s">
        <v>10</v>
      </c>
      <c r="D226" s="5" t="s">
        <v>31</v>
      </c>
      <c r="E226" s="5" t="s">
        <v>47</v>
      </c>
      <c r="F226" s="5" t="s">
        <v>52</v>
      </c>
      <c r="G226" s="6">
        <v>9</v>
      </c>
      <c r="H226" s="7">
        <v>104000</v>
      </c>
      <c r="I226" s="7">
        <v>105800</v>
      </c>
    </row>
    <row r="227" spans="1:9" x14ac:dyDescent="0.35">
      <c r="A227" s="8">
        <v>46237</v>
      </c>
      <c r="B227" s="9" t="s">
        <v>49</v>
      </c>
      <c r="C227" s="9" t="s">
        <v>50</v>
      </c>
      <c r="D227" s="9" t="s">
        <v>31</v>
      </c>
      <c r="E227" s="9" t="s">
        <v>62</v>
      </c>
      <c r="F227" s="9" t="s">
        <v>23</v>
      </c>
      <c r="G227" s="10">
        <v>4</v>
      </c>
      <c r="H227" s="11">
        <v>46000</v>
      </c>
      <c r="I227" s="11">
        <v>51000</v>
      </c>
    </row>
    <row r="228" spans="1:9" x14ac:dyDescent="0.35">
      <c r="A228" s="4">
        <v>46237</v>
      </c>
      <c r="B228" s="5" t="s">
        <v>49</v>
      </c>
      <c r="C228" s="5" t="s">
        <v>50</v>
      </c>
      <c r="D228" s="5" t="s">
        <v>31</v>
      </c>
      <c r="E228" s="5" t="s">
        <v>62</v>
      </c>
      <c r="F228" s="5" t="s">
        <v>23</v>
      </c>
      <c r="G228" s="6">
        <v>4</v>
      </c>
      <c r="H228" s="7">
        <v>46000</v>
      </c>
      <c r="I228" s="7">
        <v>51000</v>
      </c>
    </row>
    <row r="229" spans="1:9" x14ac:dyDescent="0.35">
      <c r="A229" s="8">
        <v>46238</v>
      </c>
      <c r="B229" s="9" t="s">
        <v>34</v>
      </c>
      <c r="C229" s="9" t="s">
        <v>35</v>
      </c>
      <c r="D229" s="9" t="s">
        <v>31</v>
      </c>
      <c r="E229" s="9" t="s">
        <v>22</v>
      </c>
      <c r="F229" s="9" t="s">
        <v>37</v>
      </c>
      <c r="G229" s="10">
        <v>11</v>
      </c>
      <c r="H229" s="11">
        <v>102000</v>
      </c>
      <c r="I229" s="11">
        <v>103800</v>
      </c>
    </row>
    <row r="230" spans="1:9" x14ac:dyDescent="0.35">
      <c r="A230" s="4">
        <v>46239</v>
      </c>
      <c r="B230" s="5" t="s">
        <v>57</v>
      </c>
      <c r="C230" s="5" t="s">
        <v>58</v>
      </c>
      <c r="D230" s="5" t="s">
        <v>31</v>
      </c>
      <c r="E230" s="5" t="s">
        <v>27</v>
      </c>
      <c r="F230" s="5" t="s">
        <v>56</v>
      </c>
      <c r="G230" s="6">
        <v>1</v>
      </c>
      <c r="H230" s="7">
        <v>73000</v>
      </c>
      <c r="I230" s="7">
        <v>76000</v>
      </c>
    </row>
    <row r="231" spans="1:9" x14ac:dyDescent="0.35">
      <c r="A231" s="8">
        <v>46240</v>
      </c>
      <c r="B231" s="9" t="s">
        <v>77</v>
      </c>
      <c r="C231" s="9" t="s">
        <v>41</v>
      </c>
      <c r="D231" s="9" t="s">
        <v>16</v>
      </c>
      <c r="E231" s="9" t="s">
        <v>42</v>
      </c>
      <c r="F231" s="9" t="s">
        <v>37</v>
      </c>
      <c r="G231" s="10">
        <v>10</v>
      </c>
      <c r="H231" s="11">
        <v>94000</v>
      </c>
      <c r="I231" s="11">
        <v>95800</v>
      </c>
    </row>
    <row r="232" spans="1:9" x14ac:dyDescent="0.35">
      <c r="A232" s="4">
        <v>46241</v>
      </c>
      <c r="B232" s="5" t="s">
        <v>44</v>
      </c>
      <c r="C232" s="5" t="s">
        <v>35</v>
      </c>
      <c r="D232" s="5" t="s">
        <v>31</v>
      </c>
      <c r="E232" s="5" t="s">
        <v>75</v>
      </c>
      <c r="F232" s="5" t="s">
        <v>23</v>
      </c>
      <c r="G232" s="6">
        <v>6</v>
      </c>
      <c r="H232" s="7">
        <v>123000</v>
      </c>
      <c r="I232" s="7">
        <v>124800</v>
      </c>
    </row>
    <row r="233" spans="1:9" x14ac:dyDescent="0.35">
      <c r="A233" s="8">
        <v>46242</v>
      </c>
      <c r="B233" s="9" t="s">
        <v>46</v>
      </c>
      <c r="C233" s="9" t="s">
        <v>25</v>
      </c>
      <c r="D233" s="9" t="s">
        <v>26</v>
      </c>
      <c r="E233" s="9" t="s">
        <v>71</v>
      </c>
      <c r="F233" s="9" t="s">
        <v>28</v>
      </c>
      <c r="G233" s="10">
        <v>10</v>
      </c>
      <c r="H233" s="11">
        <v>60000</v>
      </c>
      <c r="I233" s="11">
        <v>66000</v>
      </c>
    </row>
    <row r="234" spans="1:9" x14ac:dyDescent="0.35">
      <c r="A234" s="4">
        <v>46242</v>
      </c>
      <c r="B234" s="5" t="s">
        <v>46</v>
      </c>
      <c r="C234" s="5" t="s">
        <v>25</v>
      </c>
      <c r="D234" s="5" t="s">
        <v>26</v>
      </c>
      <c r="E234" s="5" t="s">
        <v>71</v>
      </c>
      <c r="F234" s="5" t="s">
        <v>28</v>
      </c>
      <c r="G234" s="6">
        <v>10</v>
      </c>
      <c r="H234" s="7">
        <v>60000</v>
      </c>
      <c r="I234" s="7">
        <v>66000</v>
      </c>
    </row>
    <row r="235" spans="1:9" x14ac:dyDescent="0.35">
      <c r="A235" s="8">
        <v>46243</v>
      </c>
      <c r="B235" s="9" t="s">
        <v>40</v>
      </c>
      <c r="C235" s="9" t="s">
        <v>41</v>
      </c>
      <c r="D235" s="9" t="s">
        <v>21</v>
      </c>
      <c r="E235" s="9" t="s">
        <v>62</v>
      </c>
      <c r="F235" s="9" t="s">
        <v>60</v>
      </c>
      <c r="G235" s="10">
        <v>10</v>
      </c>
      <c r="H235" s="11">
        <v>117000</v>
      </c>
      <c r="I235" s="11">
        <v>118800</v>
      </c>
    </row>
    <row r="236" spans="1:9" x14ac:dyDescent="0.35">
      <c r="A236" s="4">
        <v>46244</v>
      </c>
      <c r="B236" s="5" t="s">
        <v>73</v>
      </c>
      <c r="C236" s="5" t="s">
        <v>74</v>
      </c>
      <c r="D236" s="5" t="s">
        <v>26</v>
      </c>
      <c r="E236" s="5" t="s">
        <v>36</v>
      </c>
      <c r="F236" s="5" t="s">
        <v>23</v>
      </c>
      <c r="G236" s="6">
        <v>11</v>
      </c>
      <c r="H236" s="7">
        <v>76000</v>
      </c>
      <c r="I236" s="7">
        <v>79000</v>
      </c>
    </row>
    <row r="237" spans="1:9" x14ac:dyDescent="0.35">
      <c r="A237" s="8">
        <v>46245</v>
      </c>
      <c r="B237" s="9" t="s">
        <v>24</v>
      </c>
      <c r="C237" s="9" t="s">
        <v>25</v>
      </c>
      <c r="D237" s="9" t="s">
        <v>11</v>
      </c>
      <c r="E237" s="9" t="s">
        <v>47</v>
      </c>
      <c r="F237" s="9" t="s">
        <v>48</v>
      </c>
      <c r="G237" s="10">
        <v>1</v>
      </c>
      <c r="H237" s="11">
        <v>72000</v>
      </c>
      <c r="I237" s="11">
        <v>75000</v>
      </c>
    </row>
    <row r="238" spans="1:9" x14ac:dyDescent="0.35">
      <c r="A238" s="4">
        <v>46246</v>
      </c>
      <c r="B238" s="5" t="s">
        <v>66</v>
      </c>
      <c r="C238" s="5" t="s">
        <v>41</v>
      </c>
      <c r="D238" s="5" t="s">
        <v>21</v>
      </c>
      <c r="E238" s="5" t="s">
        <v>51</v>
      </c>
      <c r="F238" s="5" t="s">
        <v>45</v>
      </c>
      <c r="G238" s="6">
        <v>6</v>
      </c>
      <c r="H238" s="7">
        <v>140000</v>
      </c>
      <c r="I238" s="7">
        <v>141800</v>
      </c>
    </row>
    <row r="239" spans="1:9" x14ac:dyDescent="0.35">
      <c r="A239" s="8">
        <v>46247</v>
      </c>
      <c r="B239" s="9" t="s">
        <v>53</v>
      </c>
      <c r="C239" s="9" t="s">
        <v>54</v>
      </c>
      <c r="D239" s="9" t="s">
        <v>21</v>
      </c>
      <c r="E239" s="9" t="s">
        <v>22</v>
      </c>
      <c r="F239" s="9" t="s">
        <v>56</v>
      </c>
      <c r="G239" s="10">
        <v>13</v>
      </c>
      <c r="H239" s="11">
        <v>60000</v>
      </c>
      <c r="I239" s="11">
        <v>66000</v>
      </c>
    </row>
    <row r="240" spans="1:9" x14ac:dyDescent="0.35">
      <c r="A240" s="4">
        <v>46248</v>
      </c>
      <c r="B240" s="5" t="s">
        <v>76</v>
      </c>
      <c r="C240" s="5" t="s">
        <v>10</v>
      </c>
      <c r="D240" s="5" t="s">
        <v>26</v>
      </c>
      <c r="E240" s="5" t="s">
        <v>27</v>
      </c>
      <c r="F240" s="5" t="s">
        <v>28</v>
      </c>
      <c r="G240" s="6">
        <v>9</v>
      </c>
      <c r="H240" s="7">
        <v>113000</v>
      </c>
      <c r="I240" s="7">
        <v>114800</v>
      </c>
    </row>
    <row r="241" spans="1:9" x14ac:dyDescent="0.35">
      <c r="A241" s="8">
        <v>46249</v>
      </c>
      <c r="B241" s="9" t="s">
        <v>61</v>
      </c>
      <c r="C241" s="9" t="s">
        <v>41</v>
      </c>
      <c r="D241" s="9" t="s">
        <v>21</v>
      </c>
      <c r="E241" s="9" t="s">
        <v>51</v>
      </c>
      <c r="F241" s="9" t="s">
        <v>63</v>
      </c>
      <c r="G241" s="10">
        <v>2</v>
      </c>
      <c r="H241" s="11">
        <v>95000</v>
      </c>
      <c r="I241" s="11">
        <v>96800</v>
      </c>
    </row>
    <row r="242" spans="1:9" x14ac:dyDescent="0.35">
      <c r="A242" s="4">
        <v>46250</v>
      </c>
      <c r="B242" s="5" t="s">
        <v>19</v>
      </c>
      <c r="C242" s="5" t="s">
        <v>20</v>
      </c>
      <c r="D242" s="5" t="s">
        <v>26</v>
      </c>
      <c r="E242" s="5" t="s">
        <v>36</v>
      </c>
      <c r="F242" s="5" t="s">
        <v>28</v>
      </c>
      <c r="G242" s="6">
        <v>4</v>
      </c>
      <c r="H242" s="7">
        <v>54000</v>
      </c>
      <c r="I242" s="7">
        <v>60000</v>
      </c>
    </row>
    <row r="243" spans="1:9" x14ac:dyDescent="0.35">
      <c r="A243" s="8">
        <v>46251</v>
      </c>
      <c r="B243" s="9" t="s">
        <v>57</v>
      </c>
      <c r="C243" s="9" t="s">
        <v>58</v>
      </c>
      <c r="D243" s="9" t="s">
        <v>21</v>
      </c>
      <c r="E243" s="9" t="s">
        <v>12</v>
      </c>
      <c r="F243" s="9" t="s">
        <v>56</v>
      </c>
      <c r="G243" s="10">
        <v>13</v>
      </c>
      <c r="H243" s="11">
        <v>62000</v>
      </c>
      <c r="I243" s="11">
        <v>68500</v>
      </c>
    </row>
    <row r="244" spans="1:9" x14ac:dyDescent="0.35">
      <c r="A244" s="4">
        <v>46252</v>
      </c>
      <c r="B244" s="5" t="s">
        <v>40</v>
      </c>
      <c r="C244" s="5" t="s">
        <v>41</v>
      </c>
      <c r="D244" s="5" t="s">
        <v>21</v>
      </c>
      <c r="E244" s="5" t="s">
        <v>62</v>
      </c>
      <c r="F244" s="5" t="s">
        <v>60</v>
      </c>
      <c r="G244" s="6">
        <v>7</v>
      </c>
      <c r="H244" s="7">
        <v>123000</v>
      </c>
      <c r="I244" s="7">
        <v>124800</v>
      </c>
    </row>
    <row r="245" spans="1:9" x14ac:dyDescent="0.35">
      <c r="A245" s="8">
        <v>46253</v>
      </c>
      <c r="B245" s="9" t="s">
        <v>64</v>
      </c>
      <c r="C245" s="9" t="s">
        <v>35</v>
      </c>
      <c r="D245" s="9" t="s">
        <v>26</v>
      </c>
      <c r="E245" s="9" t="s">
        <v>75</v>
      </c>
      <c r="F245" s="9" t="s">
        <v>63</v>
      </c>
      <c r="G245" s="10">
        <v>8</v>
      </c>
      <c r="H245" s="11">
        <v>83000</v>
      </c>
      <c r="I245" s="11">
        <v>84800</v>
      </c>
    </row>
    <row r="246" spans="1:9" x14ac:dyDescent="0.35">
      <c r="A246" s="4">
        <v>46254</v>
      </c>
      <c r="B246" s="5" t="s">
        <v>9</v>
      </c>
      <c r="C246" s="5" t="s">
        <v>10</v>
      </c>
      <c r="D246" s="5" t="s">
        <v>31</v>
      </c>
      <c r="E246" s="5" t="s">
        <v>71</v>
      </c>
      <c r="F246" s="5" t="s">
        <v>33</v>
      </c>
      <c r="G246" s="6">
        <v>11</v>
      </c>
      <c r="H246" s="7">
        <v>109000</v>
      </c>
      <c r="I246" s="7">
        <v>110800</v>
      </c>
    </row>
    <row r="247" spans="1:9" x14ac:dyDescent="0.35">
      <c r="A247" s="8">
        <v>46255</v>
      </c>
      <c r="B247" s="9" t="s">
        <v>40</v>
      </c>
      <c r="C247" s="9" t="s">
        <v>41</v>
      </c>
      <c r="D247" s="9" t="s">
        <v>31</v>
      </c>
      <c r="E247" s="9" t="s">
        <v>62</v>
      </c>
      <c r="F247" s="9" t="s">
        <v>18</v>
      </c>
      <c r="G247" s="10">
        <v>11</v>
      </c>
      <c r="H247" s="11">
        <v>112000</v>
      </c>
      <c r="I247" s="11">
        <v>113800</v>
      </c>
    </row>
    <row r="248" spans="1:9" x14ac:dyDescent="0.35">
      <c r="A248" s="4">
        <v>46256</v>
      </c>
      <c r="B248" s="5" t="s">
        <v>19</v>
      </c>
      <c r="C248" s="5" t="s">
        <v>20</v>
      </c>
      <c r="D248" s="5" t="s">
        <v>21</v>
      </c>
      <c r="E248" s="5" t="s">
        <v>55</v>
      </c>
      <c r="F248" s="5" t="s">
        <v>18</v>
      </c>
      <c r="G248" s="6">
        <v>6</v>
      </c>
      <c r="H248" s="7">
        <v>40000</v>
      </c>
      <c r="I248" s="7">
        <v>45000</v>
      </c>
    </row>
    <row r="249" spans="1:9" x14ac:dyDescent="0.35">
      <c r="A249" s="8">
        <v>46256</v>
      </c>
      <c r="B249" s="9" t="s">
        <v>19</v>
      </c>
      <c r="C249" s="9" t="s">
        <v>20</v>
      </c>
      <c r="D249" s="9" t="s">
        <v>21</v>
      </c>
      <c r="E249" s="9" t="s">
        <v>55</v>
      </c>
      <c r="F249" s="9" t="s">
        <v>18</v>
      </c>
      <c r="G249" s="10">
        <v>6</v>
      </c>
      <c r="H249" s="11">
        <v>40000</v>
      </c>
      <c r="I249" s="11">
        <v>45000</v>
      </c>
    </row>
    <row r="250" spans="1:9" x14ac:dyDescent="0.35">
      <c r="A250" s="4">
        <v>46257</v>
      </c>
      <c r="B250" s="5" t="s">
        <v>65</v>
      </c>
      <c r="C250" s="5" t="s">
        <v>10</v>
      </c>
      <c r="D250" s="5" t="s">
        <v>11</v>
      </c>
      <c r="E250" s="5" t="s">
        <v>12</v>
      </c>
      <c r="F250" s="5" t="s">
        <v>52</v>
      </c>
      <c r="G250" s="6">
        <v>14</v>
      </c>
      <c r="H250" s="7">
        <v>133000</v>
      </c>
      <c r="I250" s="7">
        <v>134800</v>
      </c>
    </row>
    <row r="251" spans="1:9" x14ac:dyDescent="0.35">
      <c r="A251" s="8">
        <v>46258</v>
      </c>
      <c r="B251" s="9" t="s">
        <v>40</v>
      </c>
      <c r="C251" s="9" t="s">
        <v>41</v>
      </c>
      <c r="D251" s="9" t="s">
        <v>16</v>
      </c>
      <c r="E251" s="9" t="s">
        <v>42</v>
      </c>
      <c r="F251" s="9" t="s">
        <v>18</v>
      </c>
      <c r="G251" s="10">
        <v>15</v>
      </c>
      <c r="H251" s="11">
        <v>115000</v>
      </c>
      <c r="I251" s="11">
        <v>116800</v>
      </c>
    </row>
    <row r="252" spans="1:9" x14ac:dyDescent="0.35">
      <c r="A252" s="4">
        <v>46259</v>
      </c>
      <c r="B252" s="5" t="s">
        <v>19</v>
      </c>
      <c r="C252" s="5" t="s">
        <v>20</v>
      </c>
      <c r="D252" s="5" t="s">
        <v>16</v>
      </c>
      <c r="E252" s="5" t="s">
        <v>68</v>
      </c>
      <c r="F252" s="5" t="s">
        <v>52</v>
      </c>
      <c r="G252" s="6">
        <v>4</v>
      </c>
      <c r="H252" s="7">
        <v>54000</v>
      </c>
      <c r="I252" s="7">
        <v>60000</v>
      </c>
    </row>
    <row r="253" spans="1:9" x14ac:dyDescent="0.35">
      <c r="A253" s="8">
        <v>46260</v>
      </c>
      <c r="B253" s="9" t="s">
        <v>69</v>
      </c>
      <c r="C253" s="9" t="s">
        <v>70</v>
      </c>
      <c r="D253" s="9" t="s">
        <v>11</v>
      </c>
      <c r="E253" s="9" t="s">
        <v>59</v>
      </c>
      <c r="F253" s="9" t="s">
        <v>23</v>
      </c>
      <c r="G253" s="10">
        <v>14</v>
      </c>
      <c r="H253" s="11">
        <v>43000</v>
      </c>
      <c r="I253" s="11">
        <v>48000</v>
      </c>
    </row>
    <row r="254" spans="1:9" x14ac:dyDescent="0.35">
      <c r="A254" s="4">
        <v>46261</v>
      </c>
      <c r="B254" s="5" t="s">
        <v>77</v>
      </c>
      <c r="C254" s="5" t="s">
        <v>41</v>
      </c>
      <c r="D254" s="5" t="s">
        <v>31</v>
      </c>
      <c r="E254" s="5" t="s">
        <v>42</v>
      </c>
      <c r="F254" s="5" t="s">
        <v>63</v>
      </c>
      <c r="G254" s="6">
        <v>10</v>
      </c>
      <c r="H254" s="7">
        <v>97000</v>
      </c>
      <c r="I254" s="7">
        <v>98800</v>
      </c>
    </row>
    <row r="255" spans="1:9" x14ac:dyDescent="0.35">
      <c r="A255" s="8">
        <v>46261</v>
      </c>
      <c r="B255" s="9" t="s">
        <v>77</v>
      </c>
      <c r="C255" s="9" t="s">
        <v>41</v>
      </c>
      <c r="D255" s="9" t="s">
        <v>31</v>
      </c>
      <c r="E255" s="9" t="s">
        <v>42</v>
      </c>
      <c r="F255" s="9" t="s">
        <v>63</v>
      </c>
      <c r="G255" s="10">
        <v>10</v>
      </c>
      <c r="H255" s="11">
        <v>97000</v>
      </c>
      <c r="I255" s="11">
        <v>98800</v>
      </c>
    </row>
    <row r="256" spans="1:9" x14ac:dyDescent="0.35">
      <c r="A256" s="4">
        <v>46262</v>
      </c>
      <c r="B256" s="5" t="s">
        <v>53</v>
      </c>
      <c r="C256" s="5" t="s">
        <v>54</v>
      </c>
      <c r="D256" s="5" t="s">
        <v>21</v>
      </c>
      <c r="E256" s="5" t="s">
        <v>36</v>
      </c>
      <c r="F256" s="5" t="s">
        <v>28</v>
      </c>
      <c r="G256" s="6">
        <v>3</v>
      </c>
      <c r="H256" s="7">
        <v>64000</v>
      </c>
      <c r="I256" s="7">
        <v>70500</v>
      </c>
    </row>
    <row r="257" spans="1:9" x14ac:dyDescent="0.35">
      <c r="A257" s="8">
        <v>46263</v>
      </c>
      <c r="B257" s="9" t="s">
        <v>9</v>
      </c>
      <c r="C257" s="9" t="s">
        <v>10</v>
      </c>
      <c r="D257" s="9" t="s">
        <v>11</v>
      </c>
      <c r="E257" s="9" t="s">
        <v>12</v>
      </c>
      <c r="F257" s="9" t="s">
        <v>48</v>
      </c>
      <c r="G257" s="10">
        <v>6</v>
      </c>
      <c r="H257" s="11">
        <v>139000</v>
      </c>
      <c r="I257" s="11">
        <v>140800</v>
      </c>
    </row>
    <row r="258" spans="1:9" x14ac:dyDescent="0.35">
      <c r="A258" s="4">
        <v>46264</v>
      </c>
      <c r="B258" s="5" t="s">
        <v>61</v>
      </c>
      <c r="C258" s="5" t="s">
        <v>41</v>
      </c>
      <c r="D258" s="5" t="s">
        <v>16</v>
      </c>
      <c r="E258" s="5" t="s">
        <v>42</v>
      </c>
      <c r="F258" s="5" t="s">
        <v>45</v>
      </c>
      <c r="G258" s="6">
        <v>1</v>
      </c>
      <c r="H258" s="7">
        <v>110000</v>
      </c>
      <c r="I258" s="7">
        <v>111800</v>
      </c>
    </row>
    <row r="259" spans="1:9" x14ac:dyDescent="0.35">
      <c r="A259" s="8">
        <v>46265</v>
      </c>
      <c r="B259" s="9" t="s">
        <v>78</v>
      </c>
      <c r="C259" s="9" t="s">
        <v>35</v>
      </c>
      <c r="D259" s="9" t="s">
        <v>26</v>
      </c>
      <c r="E259" s="9" t="s">
        <v>36</v>
      </c>
      <c r="F259" s="9" t="s">
        <v>39</v>
      </c>
      <c r="G259" s="10">
        <v>8</v>
      </c>
      <c r="H259" s="11">
        <v>120000</v>
      </c>
      <c r="I259" s="11">
        <v>121800</v>
      </c>
    </row>
    <row r="260" spans="1:9" x14ac:dyDescent="0.35">
      <c r="A260" s="4">
        <v>46266</v>
      </c>
      <c r="B260" s="5" t="s">
        <v>57</v>
      </c>
      <c r="C260" s="5" t="s">
        <v>58</v>
      </c>
      <c r="D260" s="5" t="s">
        <v>26</v>
      </c>
      <c r="E260" s="5" t="s">
        <v>59</v>
      </c>
      <c r="F260" s="5" t="s">
        <v>43</v>
      </c>
      <c r="G260" s="6">
        <v>8</v>
      </c>
      <c r="H260" s="7">
        <v>68000</v>
      </c>
      <c r="I260" s="7">
        <v>74500</v>
      </c>
    </row>
    <row r="261" spans="1:9" x14ac:dyDescent="0.35">
      <c r="A261" s="8">
        <v>46267</v>
      </c>
      <c r="B261" s="9" t="s">
        <v>14</v>
      </c>
      <c r="C261" s="9" t="s">
        <v>15</v>
      </c>
      <c r="D261" s="9" t="s">
        <v>16</v>
      </c>
      <c r="E261" s="9" t="s">
        <v>17</v>
      </c>
      <c r="F261" s="9" t="s">
        <v>48</v>
      </c>
      <c r="G261" s="10">
        <v>1</v>
      </c>
      <c r="H261" s="11">
        <v>62000</v>
      </c>
      <c r="I261" s="11">
        <v>68500</v>
      </c>
    </row>
    <row r="262" spans="1:9" x14ac:dyDescent="0.35">
      <c r="A262" s="4">
        <v>46268</v>
      </c>
      <c r="B262" s="5" t="s">
        <v>34</v>
      </c>
      <c r="C262" s="5" t="s">
        <v>35</v>
      </c>
      <c r="D262" s="5" t="s">
        <v>21</v>
      </c>
      <c r="E262" s="5" t="s">
        <v>75</v>
      </c>
      <c r="F262" s="5" t="s">
        <v>56</v>
      </c>
      <c r="G262" s="6">
        <v>3</v>
      </c>
      <c r="H262" s="7">
        <v>103000</v>
      </c>
      <c r="I262" s="7">
        <v>104800</v>
      </c>
    </row>
    <row r="263" spans="1:9" x14ac:dyDescent="0.35">
      <c r="A263" s="8">
        <v>46269</v>
      </c>
      <c r="B263" s="9" t="s">
        <v>57</v>
      </c>
      <c r="C263" s="9" t="s">
        <v>58</v>
      </c>
      <c r="D263" s="9" t="s">
        <v>21</v>
      </c>
      <c r="E263" s="9" t="s">
        <v>47</v>
      </c>
      <c r="F263" s="9" t="s">
        <v>48</v>
      </c>
      <c r="G263" s="10">
        <v>13</v>
      </c>
      <c r="H263" s="11">
        <v>76000</v>
      </c>
      <c r="I263" s="11">
        <v>79000</v>
      </c>
    </row>
    <row r="264" spans="1:9" x14ac:dyDescent="0.35">
      <c r="A264" s="4">
        <v>46270</v>
      </c>
      <c r="B264" s="5" t="s">
        <v>72</v>
      </c>
      <c r="C264" s="5" t="s">
        <v>15</v>
      </c>
      <c r="D264" s="5" t="s">
        <v>11</v>
      </c>
      <c r="E264" s="5" t="s">
        <v>62</v>
      </c>
      <c r="F264" s="5" t="s">
        <v>63</v>
      </c>
      <c r="G264" s="6">
        <v>13</v>
      </c>
      <c r="H264" s="7">
        <v>66000</v>
      </c>
      <c r="I264" s="7">
        <v>72500</v>
      </c>
    </row>
    <row r="265" spans="1:9" x14ac:dyDescent="0.35">
      <c r="A265" s="8">
        <v>46271</v>
      </c>
      <c r="B265" s="9" t="s">
        <v>78</v>
      </c>
      <c r="C265" s="9" t="s">
        <v>35</v>
      </c>
      <c r="D265" s="9" t="s">
        <v>11</v>
      </c>
      <c r="E265" s="9" t="s">
        <v>55</v>
      </c>
      <c r="F265" s="9" t="s">
        <v>39</v>
      </c>
      <c r="G265" s="10">
        <v>4</v>
      </c>
      <c r="H265" s="11">
        <v>127000</v>
      </c>
      <c r="I265" s="11">
        <v>128800</v>
      </c>
    </row>
    <row r="266" spans="1:9" x14ac:dyDescent="0.35">
      <c r="A266" s="4">
        <v>46272</v>
      </c>
      <c r="B266" s="5" t="s">
        <v>57</v>
      </c>
      <c r="C266" s="5" t="s">
        <v>58</v>
      </c>
      <c r="D266" s="5" t="s">
        <v>11</v>
      </c>
      <c r="E266" s="5" t="s">
        <v>27</v>
      </c>
      <c r="F266" s="5" t="s">
        <v>23</v>
      </c>
      <c r="G266" s="6">
        <v>2</v>
      </c>
      <c r="H266" s="7">
        <v>77000</v>
      </c>
      <c r="I266" s="7">
        <v>80000</v>
      </c>
    </row>
    <row r="267" spans="1:9" x14ac:dyDescent="0.35">
      <c r="A267" s="8">
        <v>46273</v>
      </c>
      <c r="B267" s="9" t="s">
        <v>61</v>
      </c>
      <c r="C267" s="9" t="s">
        <v>41</v>
      </c>
      <c r="D267" s="9" t="s">
        <v>11</v>
      </c>
      <c r="E267" s="9" t="s">
        <v>62</v>
      </c>
      <c r="F267" s="9" t="s">
        <v>37</v>
      </c>
      <c r="G267" s="10">
        <v>5</v>
      </c>
      <c r="H267" s="11">
        <v>121000</v>
      </c>
      <c r="I267" s="11">
        <v>122800</v>
      </c>
    </row>
    <row r="268" spans="1:9" x14ac:dyDescent="0.35">
      <c r="A268" s="4">
        <v>46274</v>
      </c>
      <c r="B268" s="5" t="s">
        <v>19</v>
      </c>
      <c r="C268" s="5" t="s">
        <v>20</v>
      </c>
      <c r="D268" s="5" t="s">
        <v>21</v>
      </c>
      <c r="E268" s="5" t="s">
        <v>68</v>
      </c>
      <c r="F268" s="5" t="s">
        <v>39</v>
      </c>
      <c r="G268" s="6">
        <v>14</v>
      </c>
      <c r="H268" s="7">
        <v>46000</v>
      </c>
      <c r="I268" s="7">
        <v>51000</v>
      </c>
    </row>
    <row r="269" spans="1:9" x14ac:dyDescent="0.35">
      <c r="A269" s="8">
        <v>46275</v>
      </c>
      <c r="B269" s="9" t="s">
        <v>76</v>
      </c>
      <c r="C269" s="9" t="s">
        <v>10</v>
      </c>
      <c r="D269" s="9" t="s">
        <v>26</v>
      </c>
      <c r="E269" s="9" t="s">
        <v>47</v>
      </c>
      <c r="F269" s="9" t="s">
        <v>56</v>
      </c>
      <c r="G269" s="10">
        <v>7</v>
      </c>
      <c r="H269" s="11">
        <v>101000</v>
      </c>
      <c r="I269" s="11">
        <v>102800</v>
      </c>
    </row>
    <row r="270" spans="1:9" x14ac:dyDescent="0.35">
      <c r="A270" s="4">
        <v>46276</v>
      </c>
      <c r="B270" s="5" t="s">
        <v>77</v>
      </c>
      <c r="C270" s="5" t="s">
        <v>41</v>
      </c>
      <c r="D270" s="5" t="s">
        <v>31</v>
      </c>
      <c r="E270" s="5" t="s">
        <v>17</v>
      </c>
      <c r="F270" s="5" t="s">
        <v>60</v>
      </c>
      <c r="G270" s="6">
        <v>15</v>
      </c>
      <c r="H270" s="7">
        <v>104000</v>
      </c>
      <c r="I270" s="7">
        <v>105800</v>
      </c>
    </row>
    <row r="271" spans="1:9" x14ac:dyDescent="0.35">
      <c r="A271" s="8">
        <v>46277</v>
      </c>
      <c r="B271" s="9" t="s">
        <v>73</v>
      </c>
      <c r="C271" s="9" t="s">
        <v>74</v>
      </c>
      <c r="D271" s="9" t="s">
        <v>21</v>
      </c>
      <c r="E271" s="9" t="s">
        <v>55</v>
      </c>
      <c r="F271" s="9" t="s">
        <v>56</v>
      </c>
      <c r="G271" s="10">
        <v>4</v>
      </c>
      <c r="H271" s="11">
        <v>61000</v>
      </c>
      <c r="I271" s="11">
        <v>67500</v>
      </c>
    </row>
    <row r="272" spans="1:9" x14ac:dyDescent="0.35">
      <c r="A272" s="4">
        <v>46278</v>
      </c>
      <c r="B272" s="5" t="s">
        <v>38</v>
      </c>
      <c r="C272" s="5" t="s">
        <v>10</v>
      </c>
      <c r="D272" s="5" t="s">
        <v>21</v>
      </c>
      <c r="E272" s="5" t="s">
        <v>71</v>
      </c>
      <c r="F272" s="5" t="s">
        <v>63</v>
      </c>
      <c r="G272" s="6">
        <v>4</v>
      </c>
      <c r="H272" s="7">
        <v>100000</v>
      </c>
      <c r="I272" s="7">
        <v>101800</v>
      </c>
    </row>
    <row r="273" spans="1:9" x14ac:dyDescent="0.35">
      <c r="A273" s="8">
        <v>46279</v>
      </c>
      <c r="B273" s="9" t="s">
        <v>29</v>
      </c>
      <c r="C273" s="9" t="s">
        <v>30</v>
      </c>
      <c r="D273" s="9" t="s">
        <v>11</v>
      </c>
      <c r="E273" s="9" t="s">
        <v>32</v>
      </c>
      <c r="F273" s="9" t="s">
        <v>52</v>
      </c>
      <c r="G273" s="10">
        <v>1</v>
      </c>
      <c r="H273" s="11">
        <v>74000</v>
      </c>
      <c r="I273" s="11">
        <v>77000</v>
      </c>
    </row>
    <row r="274" spans="1:9" x14ac:dyDescent="0.35">
      <c r="A274" s="4">
        <v>46280</v>
      </c>
      <c r="B274" s="5" t="s">
        <v>78</v>
      </c>
      <c r="C274" s="5" t="s">
        <v>35</v>
      </c>
      <c r="D274" s="5" t="s">
        <v>21</v>
      </c>
      <c r="E274" s="5" t="s">
        <v>55</v>
      </c>
      <c r="F274" s="5" t="s">
        <v>18</v>
      </c>
      <c r="G274" s="6">
        <v>12</v>
      </c>
      <c r="H274" s="7">
        <v>133000</v>
      </c>
      <c r="I274" s="7">
        <v>134800</v>
      </c>
    </row>
    <row r="275" spans="1:9" x14ac:dyDescent="0.35">
      <c r="A275" s="8">
        <v>46281</v>
      </c>
      <c r="B275" s="9" t="s">
        <v>24</v>
      </c>
      <c r="C275" s="9" t="s">
        <v>25</v>
      </c>
      <c r="D275" s="9" t="s">
        <v>26</v>
      </c>
      <c r="E275" s="9" t="s">
        <v>12</v>
      </c>
      <c r="F275" s="9" t="s">
        <v>63</v>
      </c>
      <c r="G275" s="10">
        <v>3</v>
      </c>
      <c r="H275" s="11">
        <v>65000</v>
      </c>
      <c r="I275" s="11">
        <v>71500</v>
      </c>
    </row>
    <row r="276" spans="1:9" x14ac:dyDescent="0.35">
      <c r="A276" s="4">
        <v>46282</v>
      </c>
      <c r="B276" s="5" t="s">
        <v>40</v>
      </c>
      <c r="C276" s="5" t="s">
        <v>41</v>
      </c>
      <c r="D276" s="5" t="s">
        <v>16</v>
      </c>
      <c r="E276" s="5" t="s">
        <v>62</v>
      </c>
      <c r="F276" s="5" t="s">
        <v>23</v>
      </c>
      <c r="G276" s="6">
        <v>9</v>
      </c>
      <c r="H276" s="7">
        <v>112000</v>
      </c>
      <c r="I276" s="7">
        <v>113800</v>
      </c>
    </row>
    <row r="277" spans="1:9" x14ac:dyDescent="0.35">
      <c r="A277" s="8">
        <v>46283</v>
      </c>
      <c r="B277" s="9" t="s">
        <v>78</v>
      </c>
      <c r="C277" s="9" t="s">
        <v>35</v>
      </c>
      <c r="D277" s="9" t="s">
        <v>21</v>
      </c>
      <c r="E277" s="9" t="s">
        <v>55</v>
      </c>
      <c r="F277" s="9" t="s">
        <v>18</v>
      </c>
      <c r="G277" s="10">
        <v>15</v>
      </c>
      <c r="H277" s="11">
        <v>136000</v>
      </c>
      <c r="I277" s="11">
        <v>137800</v>
      </c>
    </row>
    <row r="278" spans="1:9" x14ac:dyDescent="0.35">
      <c r="A278" s="4">
        <v>46284</v>
      </c>
      <c r="B278" s="5" t="s">
        <v>76</v>
      </c>
      <c r="C278" s="5" t="s">
        <v>10</v>
      </c>
      <c r="D278" s="5" t="s">
        <v>26</v>
      </c>
      <c r="E278" s="5" t="s">
        <v>59</v>
      </c>
      <c r="F278" s="5" t="s">
        <v>33</v>
      </c>
      <c r="G278" s="6">
        <v>7</v>
      </c>
      <c r="H278" s="7">
        <v>107000</v>
      </c>
      <c r="I278" s="7">
        <v>108800</v>
      </c>
    </row>
    <row r="279" spans="1:9" x14ac:dyDescent="0.35">
      <c r="A279" s="8">
        <v>46285</v>
      </c>
      <c r="B279" s="9" t="s">
        <v>14</v>
      </c>
      <c r="C279" s="9" t="s">
        <v>15</v>
      </c>
      <c r="D279" s="9" t="s">
        <v>11</v>
      </c>
      <c r="E279" s="9" t="s">
        <v>17</v>
      </c>
      <c r="F279" s="9" t="s">
        <v>63</v>
      </c>
      <c r="G279" s="10">
        <v>9</v>
      </c>
      <c r="H279" s="11">
        <v>57000</v>
      </c>
      <c r="I279" s="11">
        <v>63000</v>
      </c>
    </row>
    <row r="280" spans="1:9" x14ac:dyDescent="0.35">
      <c r="A280" s="4">
        <v>46286</v>
      </c>
      <c r="B280" s="5" t="s">
        <v>44</v>
      </c>
      <c r="C280" s="5" t="s">
        <v>35</v>
      </c>
      <c r="D280" s="5" t="s">
        <v>31</v>
      </c>
      <c r="E280" s="5" t="s">
        <v>68</v>
      </c>
      <c r="F280" s="5" t="s">
        <v>37</v>
      </c>
      <c r="G280" s="6">
        <v>11</v>
      </c>
      <c r="H280" s="7">
        <v>118000</v>
      </c>
      <c r="I280" s="7">
        <v>119800</v>
      </c>
    </row>
    <row r="281" spans="1:9" x14ac:dyDescent="0.35">
      <c r="A281" s="8">
        <v>46287</v>
      </c>
      <c r="B281" s="9" t="s">
        <v>38</v>
      </c>
      <c r="C281" s="9" t="s">
        <v>10</v>
      </c>
      <c r="D281" s="9" t="s">
        <v>26</v>
      </c>
      <c r="E281" s="9" t="s">
        <v>71</v>
      </c>
      <c r="F281" s="9" t="s">
        <v>37</v>
      </c>
      <c r="G281" s="10">
        <v>2</v>
      </c>
      <c r="H281" s="11">
        <v>85000</v>
      </c>
      <c r="I281" s="11">
        <v>86800</v>
      </c>
    </row>
    <row r="282" spans="1:9" x14ac:dyDescent="0.35">
      <c r="A282" s="4">
        <v>46288</v>
      </c>
      <c r="B282" s="5" t="s">
        <v>72</v>
      </c>
      <c r="C282" s="5" t="s">
        <v>15</v>
      </c>
      <c r="D282" s="5" t="s">
        <v>31</v>
      </c>
      <c r="E282" s="5" t="s">
        <v>32</v>
      </c>
      <c r="F282" s="5" t="s">
        <v>18</v>
      </c>
      <c r="G282" s="6">
        <v>11</v>
      </c>
      <c r="H282" s="7">
        <v>66000</v>
      </c>
      <c r="I282" s="7">
        <v>72500</v>
      </c>
    </row>
    <row r="283" spans="1:9" x14ac:dyDescent="0.35">
      <c r="A283" s="8">
        <v>46289</v>
      </c>
      <c r="B283" s="9" t="s">
        <v>67</v>
      </c>
      <c r="C283" s="9" t="s">
        <v>54</v>
      </c>
      <c r="D283" s="9" t="s">
        <v>26</v>
      </c>
      <c r="E283" s="9" t="s">
        <v>55</v>
      </c>
      <c r="F283" s="9" t="s">
        <v>18</v>
      </c>
      <c r="G283" s="10">
        <v>2</v>
      </c>
      <c r="H283" s="11">
        <v>64000</v>
      </c>
      <c r="I283" s="11">
        <v>70500</v>
      </c>
    </row>
    <row r="284" spans="1:9" x14ac:dyDescent="0.35">
      <c r="A284" s="4">
        <v>46290</v>
      </c>
      <c r="B284" s="5" t="s">
        <v>24</v>
      </c>
      <c r="C284" s="5" t="s">
        <v>25</v>
      </c>
      <c r="D284" s="5" t="s">
        <v>16</v>
      </c>
      <c r="E284" s="5" t="s">
        <v>12</v>
      </c>
      <c r="F284" s="5" t="s">
        <v>18</v>
      </c>
      <c r="G284" s="6">
        <v>9</v>
      </c>
      <c r="H284" s="7">
        <v>61000</v>
      </c>
      <c r="I284" s="7">
        <v>67500</v>
      </c>
    </row>
    <row r="285" spans="1:9" x14ac:dyDescent="0.35">
      <c r="A285" s="8">
        <v>46291</v>
      </c>
      <c r="B285" s="9" t="s">
        <v>66</v>
      </c>
      <c r="C285" s="9" t="s">
        <v>41</v>
      </c>
      <c r="D285" s="9" t="s">
        <v>11</v>
      </c>
      <c r="E285" s="9" t="s">
        <v>51</v>
      </c>
      <c r="F285" s="9" t="s">
        <v>39</v>
      </c>
      <c r="G285" s="10">
        <v>1</v>
      </c>
      <c r="H285" s="11">
        <v>137000</v>
      </c>
      <c r="I285" s="11">
        <v>138800</v>
      </c>
    </row>
    <row r="286" spans="1:9" x14ac:dyDescent="0.35">
      <c r="A286" s="4">
        <v>46292</v>
      </c>
      <c r="B286" s="5" t="s">
        <v>78</v>
      </c>
      <c r="C286" s="5" t="s">
        <v>35</v>
      </c>
      <c r="D286" s="5" t="s">
        <v>11</v>
      </c>
      <c r="E286" s="5" t="s">
        <v>55</v>
      </c>
      <c r="F286" s="5" t="s">
        <v>56</v>
      </c>
      <c r="G286" s="6">
        <v>2</v>
      </c>
      <c r="H286" s="7">
        <v>99000</v>
      </c>
      <c r="I286" s="7">
        <v>100800</v>
      </c>
    </row>
    <row r="287" spans="1:9" x14ac:dyDescent="0.35">
      <c r="A287" s="8">
        <v>46293</v>
      </c>
      <c r="B287" s="9" t="s">
        <v>24</v>
      </c>
      <c r="C287" s="9" t="s">
        <v>25</v>
      </c>
      <c r="D287" s="9" t="s">
        <v>16</v>
      </c>
      <c r="E287" s="9" t="s">
        <v>71</v>
      </c>
      <c r="F287" s="9" t="s">
        <v>23</v>
      </c>
      <c r="G287" s="10">
        <v>4</v>
      </c>
      <c r="H287" s="11">
        <v>67000</v>
      </c>
      <c r="I287" s="11">
        <v>73500</v>
      </c>
    </row>
    <row r="288" spans="1:9" x14ac:dyDescent="0.35">
      <c r="A288" s="4">
        <v>46294</v>
      </c>
      <c r="B288" s="5" t="s">
        <v>49</v>
      </c>
      <c r="C288" s="5" t="s">
        <v>50</v>
      </c>
      <c r="D288" s="5" t="s">
        <v>26</v>
      </c>
      <c r="E288" s="5" t="s">
        <v>42</v>
      </c>
      <c r="F288" s="5" t="s">
        <v>48</v>
      </c>
      <c r="G288" s="6">
        <v>13</v>
      </c>
      <c r="H288" s="7">
        <v>50000</v>
      </c>
      <c r="I288" s="7">
        <v>55000</v>
      </c>
    </row>
    <row r="289" spans="1:9" x14ac:dyDescent="0.35">
      <c r="A289" s="8">
        <v>46295</v>
      </c>
      <c r="B289" s="9" t="s">
        <v>34</v>
      </c>
      <c r="C289" s="9" t="s">
        <v>35</v>
      </c>
      <c r="D289" s="9" t="s">
        <v>31</v>
      </c>
      <c r="E289" s="9" t="s">
        <v>68</v>
      </c>
      <c r="F289" s="9" t="s">
        <v>28</v>
      </c>
      <c r="G289" s="10">
        <v>13</v>
      </c>
      <c r="H289" s="11">
        <v>121000</v>
      </c>
      <c r="I289" s="11">
        <v>122800</v>
      </c>
    </row>
    <row r="290" spans="1:9" x14ac:dyDescent="0.35">
      <c r="A290" s="4">
        <v>46296</v>
      </c>
      <c r="B290" s="5" t="s">
        <v>24</v>
      </c>
      <c r="C290" s="5" t="s">
        <v>25</v>
      </c>
      <c r="D290" s="5" t="s">
        <v>16</v>
      </c>
      <c r="E290" s="5" t="s">
        <v>71</v>
      </c>
      <c r="F290" s="5" t="s">
        <v>60</v>
      </c>
      <c r="G290" s="6">
        <v>13</v>
      </c>
      <c r="H290" s="7">
        <v>70000</v>
      </c>
      <c r="I290" s="7">
        <v>76500</v>
      </c>
    </row>
    <row r="291" spans="1:9" x14ac:dyDescent="0.35">
      <c r="A291" s="8">
        <v>46297</v>
      </c>
      <c r="B291" s="9" t="s">
        <v>29</v>
      </c>
      <c r="C291" s="9" t="s">
        <v>30</v>
      </c>
      <c r="D291" s="9" t="s">
        <v>16</v>
      </c>
      <c r="E291" s="9" t="s">
        <v>17</v>
      </c>
      <c r="F291" s="9" t="s">
        <v>39</v>
      </c>
      <c r="G291" s="10">
        <v>5</v>
      </c>
      <c r="H291" s="11">
        <v>61000</v>
      </c>
      <c r="I291" s="11">
        <v>67500</v>
      </c>
    </row>
    <row r="292" spans="1:9" x14ac:dyDescent="0.35">
      <c r="A292" s="4">
        <v>46298</v>
      </c>
      <c r="B292" s="5" t="s">
        <v>67</v>
      </c>
      <c r="C292" s="5" t="s">
        <v>54</v>
      </c>
      <c r="D292" s="5" t="s">
        <v>21</v>
      </c>
      <c r="E292" s="5" t="s">
        <v>55</v>
      </c>
      <c r="F292" s="5" t="s">
        <v>60</v>
      </c>
      <c r="G292" s="6">
        <v>4</v>
      </c>
      <c r="H292" s="7">
        <v>54000</v>
      </c>
      <c r="I292" s="7">
        <v>60000</v>
      </c>
    </row>
    <row r="293" spans="1:9" x14ac:dyDescent="0.35">
      <c r="A293" s="8">
        <v>46299</v>
      </c>
      <c r="B293" s="9" t="s">
        <v>57</v>
      </c>
      <c r="C293" s="9" t="s">
        <v>58</v>
      </c>
      <c r="D293" s="9" t="s">
        <v>31</v>
      </c>
      <c r="E293" s="9" t="s">
        <v>59</v>
      </c>
      <c r="F293" s="9" t="s">
        <v>52</v>
      </c>
      <c r="G293" s="10">
        <v>5</v>
      </c>
      <c r="H293" s="11">
        <v>56000</v>
      </c>
      <c r="I293" s="11">
        <v>62000</v>
      </c>
    </row>
    <row r="294" spans="1:9" x14ac:dyDescent="0.35">
      <c r="A294" s="4">
        <v>46300</v>
      </c>
      <c r="B294" s="5" t="s">
        <v>77</v>
      </c>
      <c r="C294" s="5" t="s">
        <v>41</v>
      </c>
      <c r="D294" s="5" t="s">
        <v>26</v>
      </c>
      <c r="E294" s="5" t="s">
        <v>32</v>
      </c>
      <c r="F294" s="5" t="s">
        <v>48</v>
      </c>
      <c r="G294" s="6">
        <v>2</v>
      </c>
      <c r="H294" s="7">
        <v>95000</v>
      </c>
      <c r="I294" s="7">
        <v>96800</v>
      </c>
    </row>
    <row r="295" spans="1:9" x14ac:dyDescent="0.35">
      <c r="A295" s="8">
        <v>46301</v>
      </c>
      <c r="B295" s="9" t="s">
        <v>67</v>
      </c>
      <c r="C295" s="9" t="s">
        <v>54</v>
      </c>
      <c r="D295" s="9" t="s">
        <v>31</v>
      </c>
      <c r="E295" s="9" t="s">
        <v>22</v>
      </c>
      <c r="F295" s="9" t="s">
        <v>56</v>
      </c>
      <c r="G295" s="10">
        <v>5</v>
      </c>
      <c r="H295" s="11">
        <v>64000</v>
      </c>
      <c r="I295" s="11">
        <v>70500</v>
      </c>
    </row>
    <row r="296" spans="1:9" x14ac:dyDescent="0.35">
      <c r="A296" s="4">
        <v>46301</v>
      </c>
      <c r="B296" s="5" t="s">
        <v>67</v>
      </c>
      <c r="C296" s="5" t="s">
        <v>54</v>
      </c>
      <c r="D296" s="5" t="s">
        <v>31</v>
      </c>
      <c r="E296" s="5" t="s">
        <v>22</v>
      </c>
      <c r="F296" s="5" t="s">
        <v>56</v>
      </c>
      <c r="G296" s="6">
        <v>5</v>
      </c>
      <c r="H296" s="7">
        <v>64000</v>
      </c>
      <c r="I296" s="7">
        <v>70500</v>
      </c>
    </row>
    <row r="297" spans="1:9" x14ac:dyDescent="0.35">
      <c r="A297" s="8">
        <v>46302</v>
      </c>
      <c r="B297" s="9" t="s">
        <v>38</v>
      </c>
      <c r="C297" s="9" t="s">
        <v>10</v>
      </c>
      <c r="D297" s="9" t="s">
        <v>16</v>
      </c>
      <c r="E297" s="9" t="s">
        <v>12</v>
      </c>
      <c r="F297" s="9" t="s">
        <v>33</v>
      </c>
      <c r="G297" s="10">
        <v>15</v>
      </c>
      <c r="H297" s="11">
        <v>112000</v>
      </c>
      <c r="I297" s="11">
        <v>113800</v>
      </c>
    </row>
    <row r="298" spans="1:9" x14ac:dyDescent="0.35">
      <c r="A298" s="4">
        <v>46303</v>
      </c>
      <c r="B298" s="5" t="s">
        <v>49</v>
      </c>
      <c r="C298" s="5" t="s">
        <v>50</v>
      </c>
      <c r="D298" s="5" t="s">
        <v>31</v>
      </c>
      <c r="E298" s="5" t="s">
        <v>32</v>
      </c>
      <c r="F298" s="5" t="s">
        <v>56</v>
      </c>
      <c r="G298" s="6">
        <v>2</v>
      </c>
      <c r="H298" s="7">
        <v>43000</v>
      </c>
      <c r="I298" s="7">
        <v>48000</v>
      </c>
    </row>
    <row r="299" spans="1:9" x14ac:dyDescent="0.35">
      <c r="A299" s="8">
        <v>46304</v>
      </c>
      <c r="B299" s="9" t="s">
        <v>19</v>
      </c>
      <c r="C299" s="9" t="s">
        <v>20</v>
      </c>
      <c r="D299" s="9" t="s">
        <v>31</v>
      </c>
      <c r="E299" s="9" t="s">
        <v>36</v>
      </c>
      <c r="F299" s="9" t="s">
        <v>39</v>
      </c>
      <c r="G299" s="10">
        <v>10</v>
      </c>
      <c r="H299" s="11">
        <v>51000</v>
      </c>
      <c r="I299" s="11">
        <v>57000</v>
      </c>
    </row>
    <row r="300" spans="1:9" x14ac:dyDescent="0.35">
      <c r="A300" s="4">
        <v>46305</v>
      </c>
      <c r="B300" s="5" t="s">
        <v>57</v>
      </c>
      <c r="C300" s="5" t="s">
        <v>58</v>
      </c>
      <c r="D300" s="5" t="s">
        <v>16</v>
      </c>
      <c r="E300" s="5" t="s">
        <v>27</v>
      </c>
      <c r="F300" s="5" t="s">
        <v>13</v>
      </c>
      <c r="G300" s="6">
        <v>11</v>
      </c>
      <c r="H300" s="7">
        <v>73000</v>
      </c>
      <c r="I300" s="7">
        <v>76000</v>
      </c>
    </row>
    <row r="301" spans="1:9" x14ac:dyDescent="0.35">
      <c r="A301" s="8">
        <v>46306</v>
      </c>
      <c r="B301" s="9" t="s">
        <v>72</v>
      </c>
      <c r="C301" s="9" t="s">
        <v>15</v>
      </c>
      <c r="D301" s="9" t="s">
        <v>11</v>
      </c>
      <c r="E301" s="9" t="s">
        <v>51</v>
      </c>
      <c r="F301" s="9" t="s">
        <v>48</v>
      </c>
      <c r="G301" s="10">
        <v>10</v>
      </c>
      <c r="H301" s="11">
        <v>72000</v>
      </c>
      <c r="I301" s="11">
        <v>75000</v>
      </c>
    </row>
    <row r="302" spans="1:9" x14ac:dyDescent="0.35">
      <c r="A302" s="4">
        <v>46307</v>
      </c>
      <c r="B302" s="5" t="s">
        <v>34</v>
      </c>
      <c r="C302" s="5" t="s">
        <v>35</v>
      </c>
      <c r="D302" s="5" t="s">
        <v>16</v>
      </c>
      <c r="E302" s="5" t="s">
        <v>36</v>
      </c>
      <c r="F302" s="5" t="s">
        <v>48</v>
      </c>
      <c r="G302" s="6">
        <v>6</v>
      </c>
      <c r="H302" s="7">
        <v>102000</v>
      </c>
      <c r="I302" s="7">
        <v>103800</v>
      </c>
    </row>
    <row r="303" spans="1:9" x14ac:dyDescent="0.35">
      <c r="A303" s="8">
        <v>46308</v>
      </c>
      <c r="B303" s="9" t="s">
        <v>9</v>
      </c>
      <c r="C303" s="9" t="s">
        <v>10</v>
      </c>
      <c r="D303" s="9" t="s">
        <v>21</v>
      </c>
      <c r="E303" s="9" t="s">
        <v>12</v>
      </c>
      <c r="F303" s="9" t="s">
        <v>48</v>
      </c>
      <c r="G303" s="10">
        <v>1</v>
      </c>
      <c r="H303" s="11">
        <v>127000</v>
      </c>
      <c r="I303" s="11">
        <v>128800</v>
      </c>
    </row>
    <row r="304" spans="1:9" x14ac:dyDescent="0.35">
      <c r="A304" s="4">
        <v>46309</v>
      </c>
      <c r="B304" s="5" t="s">
        <v>29</v>
      </c>
      <c r="C304" s="5" t="s">
        <v>30</v>
      </c>
      <c r="D304" s="5" t="s">
        <v>31</v>
      </c>
      <c r="E304" s="5" t="s">
        <v>42</v>
      </c>
      <c r="F304" s="5" t="s">
        <v>45</v>
      </c>
      <c r="G304" s="6">
        <v>5</v>
      </c>
      <c r="H304" s="7">
        <v>66000</v>
      </c>
      <c r="I304" s="7">
        <v>72500</v>
      </c>
    </row>
    <row r="305" spans="1:9" x14ac:dyDescent="0.35">
      <c r="A305" s="8">
        <v>46310</v>
      </c>
      <c r="B305" s="9" t="s">
        <v>44</v>
      </c>
      <c r="C305" s="9" t="s">
        <v>35</v>
      </c>
      <c r="D305" s="9" t="s">
        <v>21</v>
      </c>
      <c r="E305" s="9" t="s">
        <v>55</v>
      </c>
      <c r="F305" s="9" t="s">
        <v>52</v>
      </c>
      <c r="G305" s="10">
        <v>3</v>
      </c>
      <c r="H305" s="11">
        <v>113000</v>
      </c>
      <c r="I305" s="11">
        <v>114800</v>
      </c>
    </row>
    <row r="306" spans="1:9" x14ac:dyDescent="0.35">
      <c r="A306" s="4">
        <v>46311</v>
      </c>
      <c r="B306" s="5" t="s">
        <v>57</v>
      </c>
      <c r="C306" s="5" t="s">
        <v>58</v>
      </c>
      <c r="D306" s="5" t="s">
        <v>21</v>
      </c>
      <c r="E306" s="5" t="s">
        <v>27</v>
      </c>
      <c r="F306" s="5" t="s">
        <v>52</v>
      </c>
      <c r="G306" s="6">
        <v>12</v>
      </c>
      <c r="H306" s="7">
        <v>61000</v>
      </c>
      <c r="I306" s="7">
        <v>67500</v>
      </c>
    </row>
    <row r="307" spans="1:9" x14ac:dyDescent="0.35">
      <c r="A307" s="8">
        <v>46312</v>
      </c>
      <c r="B307" s="9" t="s">
        <v>72</v>
      </c>
      <c r="C307" s="9" t="s">
        <v>15</v>
      </c>
      <c r="D307" s="9" t="s">
        <v>11</v>
      </c>
      <c r="E307" s="9" t="s">
        <v>62</v>
      </c>
      <c r="F307" s="9" t="s">
        <v>45</v>
      </c>
      <c r="G307" s="10">
        <v>13</v>
      </c>
      <c r="H307" s="11">
        <v>58000</v>
      </c>
      <c r="I307" s="11">
        <v>64000</v>
      </c>
    </row>
    <row r="308" spans="1:9" x14ac:dyDescent="0.35">
      <c r="A308" s="4">
        <v>46313</v>
      </c>
      <c r="B308" s="5" t="s">
        <v>78</v>
      </c>
      <c r="C308" s="5" t="s">
        <v>35</v>
      </c>
      <c r="D308" s="5" t="s">
        <v>11</v>
      </c>
      <c r="E308" s="5" t="s">
        <v>75</v>
      </c>
      <c r="F308" s="5" t="s">
        <v>23</v>
      </c>
      <c r="G308" s="6">
        <v>6</v>
      </c>
      <c r="H308" s="7">
        <v>105000</v>
      </c>
      <c r="I308" s="7">
        <v>106800</v>
      </c>
    </row>
    <row r="309" spans="1:9" x14ac:dyDescent="0.35">
      <c r="A309" s="8">
        <v>46314</v>
      </c>
      <c r="B309" s="9" t="s">
        <v>38</v>
      </c>
      <c r="C309" s="9" t="s">
        <v>10</v>
      </c>
      <c r="D309" s="9" t="s">
        <v>21</v>
      </c>
      <c r="E309" s="9" t="s">
        <v>12</v>
      </c>
      <c r="F309" s="9" t="s">
        <v>23</v>
      </c>
      <c r="G309" s="10">
        <v>2</v>
      </c>
      <c r="H309" s="11">
        <v>92000</v>
      </c>
      <c r="I309" s="11">
        <v>93800</v>
      </c>
    </row>
    <row r="310" spans="1:9" x14ac:dyDescent="0.35">
      <c r="A310" s="4">
        <v>46315</v>
      </c>
      <c r="B310" s="5" t="s">
        <v>49</v>
      </c>
      <c r="C310" s="5" t="s">
        <v>50</v>
      </c>
      <c r="D310" s="5" t="s">
        <v>11</v>
      </c>
      <c r="E310" s="5" t="s">
        <v>51</v>
      </c>
      <c r="F310" s="5" t="s">
        <v>23</v>
      </c>
      <c r="G310" s="6">
        <v>3</v>
      </c>
      <c r="H310" s="7">
        <v>41000</v>
      </c>
      <c r="I310" s="7">
        <v>46000</v>
      </c>
    </row>
    <row r="311" spans="1:9" x14ac:dyDescent="0.35">
      <c r="A311" s="8">
        <v>46316</v>
      </c>
      <c r="B311" s="9" t="s">
        <v>44</v>
      </c>
      <c r="C311" s="9" t="s">
        <v>35</v>
      </c>
      <c r="D311" s="9" t="s">
        <v>26</v>
      </c>
      <c r="E311" s="9" t="s">
        <v>55</v>
      </c>
      <c r="F311" s="9" t="s">
        <v>45</v>
      </c>
      <c r="G311" s="10">
        <v>1</v>
      </c>
      <c r="H311" s="11">
        <v>121000</v>
      </c>
      <c r="I311" s="11">
        <v>122800</v>
      </c>
    </row>
    <row r="312" spans="1:9" x14ac:dyDescent="0.35">
      <c r="A312" s="4">
        <v>46317</v>
      </c>
      <c r="B312" s="5" t="s">
        <v>38</v>
      </c>
      <c r="C312" s="5" t="s">
        <v>10</v>
      </c>
      <c r="D312" s="5" t="s">
        <v>11</v>
      </c>
      <c r="E312" s="5" t="s">
        <v>47</v>
      </c>
      <c r="F312" s="5" t="s">
        <v>37</v>
      </c>
      <c r="G312" s="6">
        <v>3</v>
      </c>
      <c r="H312" s="7">
        <v>114000</v>
      </c>
      <c r="I312" s="7">
        <v>115800</v>
      </c>
    </row>
    <row r="313" spans="1:9" x14ac:dyDescent="0.35">
      <c r="A313" s="8">
        <v>46318</v>
      </c>
      <c r="B313" s="9" t="s">
        <v>66</v>
      </c>
      <c r="C313" s="9" t="s">
        <v>41</v>
      </c>
      <c r="D313" s="9" t="s">
        <v>26</v>
      </c>
      <c r="E313" s="9" t="s">
        <v>32</v>
      </c>
      <c r="F313" s="9" t="s">
        <v>63</v>
      </c>
      <c r="G313" s="10">
        <v>1</v>
      </c>
      <c r="H313" s="11">
        <v>121000</v>
      </c>
      <c r="I313" s="11">
        <v>122800</v>
      </c>
    </row>
    <row r="314" spans="1:9" x14ac:dyDescent="0.35">
      <c r="A314" s="4">
        <v>46319</v>
      </c>
      <c r="B314" s="5" t="s">
        <v>34</v>
      </c>
      <c r="C314" s="5" t="s">
        <v>35</v>
      </c>
      <c r="D314" s="5" t="s">
        <v>26</v>
      </c>
      <c r="E314" s="5" t="s">
        <v>36</v>
      </c>
      <c r="F314" s="5" t="s">
        <v>37</v>
      </c>
      <c r="G314" s="6">
        <v>6</v>
      </c>
      <c r="H314" s="7">
        <v>115000</v>
      </c>
      <c r="I314" s="7">
        <v>116800</v>
      </c>
    </row>
    <row r="315" spans="1:9" x14ac:dyDescent="0.35">
      <c r="A315" s="8">
        <v>46320</v>
      </c>
      <c r="B315" s="9" t="s">
        <v>46</v>
      </c>
      <c r="C315" s="9" t="s">
        <v>25</v>
      </c>
      <c r="D315" s="9" t="s">
        <v>26</v>
      </c>
      <c r="E315" s="9" t="s">
        <v>12</v>
      </c>
      <c r="F315" s="9" t="s">
        <v>23</v>
      </c>
      <c r="G315" s="10">
        <v>13</v>
      </c>
      <c r="H315" s="11">
        <v>60000</v>
      </c>
      <c r="I315" s="11">
        <v>66000</v>
      </c>
    </row>
    <row r="316" spans="1:9" x14ac:dyDescent="0.35">
      <c r="A316" s="4">
        <v>46321</v>
      </c>
      <c r="B316" s="5" t="s">
        <v>14</v>
      </c>
      <c r="C316" s="5" t="s">
        <v>15</v>
      </c>
      <c r="D316" s="5" t="s">
        <v>26</v>
      </c>
      <c r="E316" s="5" t="s">
        <v>32</v>
      </c>
      <c r="F316" s="5" t="s">
        <v>33</v>
      </c>
      <c r="G316" s="6">
        <v>10</v>
      </c>
      <c r="H316" s="7">
        <v>69000</v>
      </c>
      <c r="I316" s="7">
        <v>75500</v>
      </c>
    </row>
    <row r="317" spans="1:9" x14ac:dyDescent="0.35">
      <c r="A317" s="8">
        <v>46322</v>
      </c>
      <c r="B317" s="9" t="s">
        <v>78</v>
      </c>
      <c r="C317" s="9" t="s">
        <v>35</v>
      </c>
      <c r="D317" s="9" t="s">
        <v>16</v>
      </c>
      <c r="E317" s="9" t="s">
        <v>22</v>
      </c>
      <c r="F317" s="9" t="s">
        <v>43</v>
      </c>
      <c r="G317" s="10">
        <v>7</v>
      </c>
      <c r="H317" s="11">
        <v>101000</v>
      </c>
      <c r="I317" s="11">
        <v>102800</v>
      </c>
    </row>
    <row r="318" spans="1:9" x14ac:dyDescent="0.35">
      <c r="A318" s="4">
        <v>46323</v>
      </c>
      <c r="B318" s="5" t="s">
        <v>69</v>
      </c>
      <c r="C318" s="5" t="s">
        <v>70</v>
      </c>
      <c r="D318" s="5" t="s">
        <v>31</v>
      </c>
      <c r="E318" s="5" t="s">
        <v>12</v>
      </c>
      <c r="F318" s="5" t="s">
        <v>13</v>
      </c>
      <c r="G318" s="6">
        <v>13</v>
      </c>
      <c r="H318" s="7">
        <v>41000</v>
      </c>
      <c r="I318" s="7">
        <v>46000</v>
      </c>
    </row>
    <row r="319" spans="1:9" x14ac:dyDescent="0.35">
      <c r="A319" s="8">
        <v>46324</v>
      </c>
      <c r="B319" s="9" t="s">
        <v>14</v>
      </c>
      <c r="C319" s="9" t="s">
        <v>15</v>
      </c>
      <c r="D319" s="9" t="s">
        <v>31</v>
      </c>
      <c r="E319" s="9" t="s">
        <v>51</v>
      </c>
      <c r="F319" s="9" t="s">
        <v>43</v>
      </c>
      <c r="G319" s="10">
        <v>6</v>
      </c>
      <c r="H319" s="11">
        <v>61000</v>
      </c>
      <c r="I319" s="11">
        <v>67500</v>
      </c>
    </row>
    <row r="320" spans="1:9" x14ac:dyDescent="0.35">
      <c r="A320" s="4">
        <v>46325</v>
      </c>
      <c r="B320" s="5" t="s">
        <v>53</v>
      </c>
      <c r="C320" s="5" t="s">
        <v>54</v>
      </c>
      <c r="D320" s="5" t="s">
        <v>31</v>
      </c>
      <c r="E320" s="5" t="s">
        <v>22</v>
      </c>
      <c r="F320" s="5" t="s">
        <v>33</v>
      </c>
      <c r="G320" s="6">
        <v>1</v>
      </c>
      <c r="H320" s="7">
        <v>72000</v>
      </c>
      <c r="I320" s="7">
        <v>75000</v>
      </c>
    </row>
    <row r="321" spans="1:9" x14ac:dyDescent="0.35">
      <c r="A321" s="8">
        <v>46326</v>
      </c>
      <c r="B321" s="9" t="s">
        <v>76</v>
      </c>
      <c r="C321" s="9" t="s">
        <v>10</v>
      </c>
      <c r="D321" s="9" t="s">
        <v>21</v>
      </c>
      <c r="E321" s="9" t="s">
        <v>27</v>
      </c>
      <c r="F321" s="9" t="s">
        <v>60</v>
      </c>
      <c r="G321" s="10">
        <v>8</v>
      </c>
      <c r="H321" s="11">
        <v>123000</v>
      </c>
      <c r="I321" s="11">
        <v>124800</v>
      </c>
    </row>
    <row r="322" spans="1:9" x14ac:dyDescent="0.35">
      <c r="A322" s="4">
        <v>46327</v>
      </c>
      <c r="B322" s="5" t="s">
        <v>61</v>
      </c>
      <c r="C322" s="5" t="s">
        <v>41</v>
      </c>
      <c r="D322" s="5" t="s">
        <v>31</v>
      </c>
      <c r="E322" s="5" t="s">
        <v>51</v>
      </c>
      <c r="F322" s="5" t="s">
        <v>37</v>
      </c>
      <c r="G322" s="6">
        <v>1</v>
      </c>
      <c r="H322" s="7">
        <v>99000</v>
      </c>
      <c r="I322" s="7">
        <v>100800</v>
      </c>
    </row>
    <row r="323" spans="1:9" x14ac:dyDescent="0.35">
      <c r="A323" s="8">
        <v>46328</v>
      </c>
      <c r="B323" s="9" t="s">
        <v>67</v>
      </c>
      <c r="C323" s="9" t="s">
        <v>54</v>
      </c>
      <c r="D323" s="9" t="s">
        <v>11</v>
      </c>
      <c r="E323" s="9" t="s">
        <v>68</v>
      </c>
      <c r="F323" s="9" t="s">
        <v>52</v>
      </c>
      <c r="G323" s="10">
        <v>14</v>
      </c>
      <c r="H323" s="11">
        <v>65000</v>
      </c>
      <c r="I323" s="11">
        <v>71500</v>
      </c>
    </row>
    <row r="324" spans="1:9" x14ac:dyDescent="0.35">
      <c r="A324" s="4">
        <v>46329</v>
      </c>
      <c r="B324" s="5" t="s">
        <v>57</v>
      </c>
      <c r="C324" s="5" t="s">
        <v>58</v>
      </c>
      <c r="D324" s="5" t="s">
        <v>21</v>
      </c>
      <c r="E324" s="5" t="s">
        <v>47</v>
      </c>
      <c r="F324" s="5" t="s">
        <v>28</v>
      </c>
      <c r="G324" s="6">
        <v>4</v>
      </c>
      <c r="H324" s="7">
        <v>63000</v>
      </c>
      <c r="I324" s="7">
        <v>69500</v>
      </c>
    </row>
    <row r="325" spans="1:9" x14ac:dyDescent="0.35">
      <c r="A325" s="8">
        <v>46330</v>
      </c>
      <c r="B325" s="9" t="s">
        <v>29</v>
      </c>
      <c r="C325" s="9" t="s">
        <v>30</v>
      </c>
      <c r="D325" s="9" t="s">
        <v>16</v>
      </c>
      <c r="E325" s="9" t="s">
        <v>17</v>
      </c>
      <c r="F325" s="9" t="s">
        <v>60</v>
      </c>
      <c r="G325" s="10">
        <v>14</v>
      </c>
      <c r="H325" s="11">
        <v>55000</v>
      </c>
      <c r="I325" s="11">
        <v>61000</v>
      </c>
    </row>
    <row r="326" spans="1:9" x14ac:dyDescent="0.35">
      <c r="A326" s="4">
        <v>46331</v>
      </c>
      <c r="B326" s="5" t="s">
        <v>19</v>
      </c>
      <c r="C326" s="5" t="s">
        <v>20</v>
      </c>
      <c r="D326" s="5" t="s">
        <v>21</v>
      </c>
      <c r="E326" s="5" t="s">
        <v>22</v>
      </c>
      <c r="F326" s="5" t="s">
        <v>28</v>
      </c>
      <c r="G326" s="6">
        <v>8</v>
      </c>
      <c r="H326" s="7">
        <v>44000</v>
      </c>
      <c r="I326" s="7">
        <v>49000</v>
      </c>
    </row>
    <row r="327" spans="1:9" x14ac:dyDescent="0.35">
      <c r="A327" s="8">
        <v>46332</v>
      </c>
      <c r="B327" s="9" t="s">
        <v>46</v>
      </c>
      <c r="C327" s="9" t="s">
        <v>25</v>
      </c>
      <c r="D327" s="9" t="s">
        <v>31</v>
      </c>
      <c r="E327" s="9" t="s">
        <v>27</v>
      </c>
      <c r="F327" s="9" t="s">
        <v>43</v>
      </c>
      <c r="G327" s="10">
        <v>2</v>
      </c>
      <c r="H327" s="11">
        <v>55000</v>
      </c>
      <c r="I327" s="11">
        <v>61000</v>
      </c>
    </row>
    <row r="328" spans="1:9" x14ac:dyDescent="0.35">
      <c r="A328" s="4">
        <v>46333</v>
      </c>
      <c r="B328" s="5" t="s">
        <v>61</v>
      </c>
      <c r="C328" s="5" t="s">
        <v>41</v>
      </c>
      <c r="D328" s="5" t="s">
        <v>16</v>
      </c>
      <c r="E328" s="5" t="s">
        <v>42</v>
      </c>
      <c r="F328" s="5" t="s">
        <v>45</v>
      </c>
      <c r="G328" s="6">
        <v>13</v>
      </c>
      <c r="H328" s="7">
        <v>118000</v>
      </c>
      <c r="I328" s="7">
        <v>119800</v>
      </c>
    </row>
    <row r="329" spans="1:9" x14ac:dyDescent="0.35">
      <c r="A329" s="8">
        <v>46334</v>
      </c>
      <c r="B329" s="9" t="s">
        <v>78</v>
      </c>
      <c r="C329" s="9" t="s">
        <v>35</v>
      </c>
      <c r="D329" s="9" t="s">
        <v>21</v>
      </c>
      <c r="E329" s="9" t="s">
        <v>36</v>
      </c>
      <c r="F329" s="9" t="s">
        <v>33</v>
      </c>
      <c r="G329" s="10">
        <v>8</v>
      </c>
      <c r="H329" s="11">
        <v>118000</v>
      </c>
      <c r="I329" s="11">
        <v>119800</v>
      </c>
    </row>
    <row r="330" spans="1:9" x14ac:dyDescent="0.35">
      <c r="A330" s="4">
        <v>46335</v>
      </c>
      <c r="B330" s="5" t="s">
        <v>76</v>
      </c>
      <c r="C330" s="5" t="s">
        <v>10</v>
      </c>
      <c r="D330" s="5" t="s">
        <v>16</v>
      </c>
      <c r="E330" s="5" t="s">
        <v>27</v>
      </c>
      <c r="F330" s="5" t="s">
        <v>39</v>
      </c>
      <c r="G330" s="6">
        <v>1</v>
      </c>
      <c r="H330" s="7">
        <v>96000</v>
      </c>
      <c r="I330" s="7">
        <v>97800</v>
      </c>
    </row>
    <row r="331" spans="1:9" x14ac:dyDescent="0.35">
      <c r="A331" s="8">
        <v>46336</v>
      </c>
      <c r="B331" s="9" t="s">
        <v>49</v>
      </c>
      <c r="C331" s="9" t="s">
        <v>50</v>
      </c>
      <c r="D331" s="9" t="s">
        <v>31</v>
      </c>
      <c r="E331" s="9" t="s">
        <v>42</v>
      </c>
      <c r="F331" s="9" t="s">
        <v>33</v>
      </c>
      <c r="G331" s="10">
        <v>11</v>
      </c>
      <c r="H331" s="11">
        <v>52000</v>
      </c>
      <c r="I331" s="11">
        <v>58000</v>
      </c>
    </row>
    <row r="332" spans="1:9" x14ac:dyDescent="0.35">
      <c r="A332" s="4">
        <v>46337</v>
      </c>
      <c r="B332" s="5" t="s">
        <v>53</v>
      </c>
      <c r="C332" s="5" t="s">
        <v>54</v>
      </c>
      <c r="D332" s="5" t="s">
        <v>11</v>
      </c>
      <c r="E332" s="5" t="s">
        <v>22</v>
      </c>
      <c r="F332" s="5" t="s">
        <v>52</v>
      </c>
      <c r="G332" s="6">
        <v>12</v>
      </c>
      <c r="H332" s="7">
        <v>64000</v>
      </c>
      <c r="I332" s="7">
        <v>70500</v>
      </c>
    </row>
    <row r="333" spans="1:9" x14ac:dyDescent="0.35">
      <c r="A333" s="8">
        <v>46338</v>
      </c>
      <c r="B333" s="9" t="s">
        <v>69</v>
      </c>
      <c r="C333" s="9" t="s">
        <v>70</v>
      </c>
      <c r="D333" s="9" t="s">
        <v>31</v>
      </c>
      <c r="E333" s="9" t="s">
        <v>71</v>
      </c>
      <c r="F333" s="9" t="s">
        <v>43</v>
      </c>
      <c r="G333" s="10">
        <v>7</v>
      </c>
      <c r="H333" s="11">
        <v>49000</v>
      </c>
      <c r="I333" s="11">
        <v>54000</v>
      </c>
    </row>
    <row r="334" spans="1:9" x14ac:dyDescent="0.35">
      <c r="A334" s="4">
        <v>46339</v>
      </c>
      <c r="B334" s="5" t="s">
        <v>77</v>
      </c>
      <c r="C334" s="5" t="s">
        <v>41</v>
      </c>
      <c r="D334" s="5" t="s">
        <v>16</v>
      </c>
      <c r="E334" s="5" t="s">
        <v>17</v>
      </c>
      <c r="F334" s="5" t="s">
        <v>13</v>
      </c>
      <c r="G334" s="6">
        <v>4</v>
      </c>
      <c r="H334" s="7">
        <v>86000</v>
      </c>
      <c r="I334" s="7">
        <v>87800</v>
      </c>
    </row>
    <row r="335" spans="1:9" x14ac:dyDescent="0.35">
      <c r="A335" s="8">
        <v>46340</v>
      </c>
      <c r="B335" s="9" t="s">
        <v>78</v>
      </c>
      <c r="C335" s="9" t="s">
        <v>35</v>
      </c>
      <c r="D335" s="9" t="s">
        <v>11</v>
      </c>
      <c r="E335" s="9" t="s">
        <v>36</v>
      </c>
      <c r="F335" s="9" t="s">
        <v>39</v>
      </c>
      <c r="G335" s="10">
        <v>9</v>
      </c>
      <c r="H335" s="11">
        <v>101000</v>
      </c>
      <c r="I335" s="11">
        <v>102800</v>
      </c>
    </row>
    <row r="336" spans="1:9" x14ac:dyDescent="0.35">
      <c r="A336" s="4">
        <v>46341</v>
      </c>
      <c r="B336" s="5" t="s">
        <v>65</v>
      </c>
      <c r="C336" s="5" t="s">
        <v>10</v>
      </c>
      <c r="D336" s="5" t="s">
        <v>11</v>
      </c>
      <c r="E336" s="5" t="s">
        <v>71</v>
      </c>
      <c r="F336" s="5" t="s">
        <v>28</v>
      </c>
      <c r="G336" s="6">
        <v>8</v>
      </c>
      <c r="H336" s="7">
        <v>119000</v>
      </c>
      <c r="I336" s="7">
        <v>120800</v>
      </c>
    </row>
    <row r="337" spans="1:9" x14ac:dyDescent="0.35">
      <c r="A337" s="8">
        <v>46342</v>
      </c>
      <c r="B337" s="9" t="s">
        <v>14</v>
      </c>
      <c r="C337" s="9" t="s">
        <v>15</v>
      </c>
      <c r="D337" s="9" t="s">
        <v>16</v>
      </c>
      <c r="E337" s="9" t="s">
        <v>42</v>
      </c>
      <c r="F337" s="9" t="s">
        <v>63</v>
      </c>
      <c r="G337" s="10">
        <v>5</v>
      </c>
      <c r="H337" s="11">
        <v>60000</v>
      </c>
      <c r="I337" s="11">
        <v>66000</v>
      </c>
    </row>
    <row r="338" spans="1:9" x14ac:dyDescent="0.35">
      <c r="A338" s="4">
        <v>46343</v>
      </c>
      <c r="B338" s="5" t="s">
        <v>19</v>
      </c>
      <c r="C338" s="5" t="s">
        <v>20</v>
      </c>
      <c r="D338" s="5" t="s">
        <v>21</v>
      </c>
      <c r="E338" s="5" t="s">
        <v>36</v>
      </c>
      <c r="F338" s="5" t="s">
        <v>13</v>
      </c>
      <c r="G338" s="6">
        <v>10</v>
      </c>
      <c r="H338" s="7">
        <v>51000</v>
      </c>
      <c r="I338" s="7">
        <v>57000</v>
      </c>
    </row>
    <row r="339" spans="1:9" x14ac:dyDescent="0.35">
      <c r="A339" s="8">
        <v>46344</v>
      </c>
      <c r="B339" s="9" t="s">
        <v>24</v>
      </c>
      <c r="C339" s="9" t="s">
        <v>25</v>
      </c>
      <c r="D339" s="9" t="s">
        <v>31</v>
      </c>
      <c r="E339" s="9" t="s">
        <v>27</v>
      </c>
      <c r="F339" s="9" t="s">
        <v>33</v>
      </c>
      <c r="G339" s="10">
        <v>15</v>
      </c>
      <c r="H339" s="11">
        <v>55000</v>
      </c>
      <c r="I339" s="11">
        <v>61000</v>
      </c>
    </row>
    <row r="340" spans="1:9" x14ac:dyDescent="0.35">
      <c r="A340" s="4">
        <v>46345</v>
      </c>
      <c r="B340" s="5" t="s">
        <v>66</v>
      </c>
      <c r="C340" s="5" t="s">
        <v>41</v>
      </c>
      <c r="D340" s="5" t="s">
        <v>31</v>
      </c>
      <c r="E340" s="5" t="s">
        <v>51</v>
      </c>
      <c r="F340" s="5" t="s">
        <v>23</v>
      </c>
      <c r="G340" s="6">
        <v>4</v>
      </c>
      <c r="H340" s="7">
        <v>138000</v>
      </c>
      <c r="I340" s="7">
        <v>139800</v>
      </c>
    </row>
    <row r="341" spans="1:9" x14ac:dyDescent="0.35">
      <c r="A341" s="8">
        <v>46346</v>
      </c>
      <c r="B341" s="9" t="s">
        <v>78</v>
      </c>
      <c r="C341" s="9" t="s">
        <v>35</v>
      </c>
      <c r="D341" s="9" t="s">
        <v>21</v>
      </c>
      <c r="E341" s="9" t="s">
        <v>36</v>
      </c>
      <c r="F341" s="9" t="s">
        <v>45</v>
      </c>
      <c r="G341" s="10">
        <v>15</v>
      </c>
      <c r="H341" s="11">
        <v>116000</v>
      </c>
      <c r="I341" s="11">
        <v>117800</v>
      </c>
    </row>
    <row r="342" spans="1:9" x14ac:dyDescent="0.35">
      <c r="A342" s="4">
        <v>46347</v>
      </c>
      <c r="B342" s="5" t="s">
        <v>65</v>
      </c>
      <c r="C342" s="5" t="s">
        <v>10</v>
      </c>
      <c r="D342" s="5" t="s">
        <v>21</v>
      </c>
      <c r="E342" s="5" t="s">
        <v>59</v>
      </c>
      <c r="F342" s="5" t="s">
        <v>39</v>
      </c>
      <c r="G342" s="6">
        <v>6</v>
      </c>
      <c r="H342" s="7">
        <v>104000</v>
      </c>
      <c r="I342" s="7">
        <v>105800</v>
      </c>
    </row>
    <row r="343" spans="1:9" x14ac:dyDescent="0.35">
      <c r="A343" s="8">
        <v>46348</v>
      </c>
      <c r="B343" s="9" t="s">
        <v>49</v>
      </c>
      <c r="C343" s="9" t="s">
        <v>50</v>
      </c>
      <c r="D343" s="9" t="s">
        <v>31</v>
      </c>
      <c r="E343" s="9" t="s">
        <v>62</v>
      </c>
      <c r="F343" s="9" t="s">
        <v>28</v>
      </c>
      <c r="G343" s="10">
        <v>2</v>
      </c>
      <c r="H343" s="11">
        <v>39000</v>
      </c>
      <c r="I343" s="11">
        <v>44000</v>
      </c>
    </row>
    <row r="344" spans="1:9" x14ac:dyDescent="0.35">
      <c r="A344" s="4">
        <v>46349</v>
      </c>
      <c r="B344" s="5" t="s">
        <v>78</v>
      </c>
      <c r="C344" s="5" t="s">
        <v>35</v>
      </c>
      <c r="D344" s="5" t="s">
        <v>31</v>
      </c>
      <c r="E344" s="5" t="s">
        <v>22</v>
      </c>
      <c r="F344" s="5" t="s">
        <v>56</v>
      </c>
      <c r="G344" s="6">
        <v>15</v>
      </c>
      <c r="H344" s="7">
        <v>123000</v>
      </c>
      <c r="I344" s="7">
        <v>124800</v>
      </c>
    </row>
    <row r="345" spans="1:9" x14ac:dyDescent="0.35">
      <c r="A345" s="8">
        <v>46350</v>
      </c>
      <c r="B345" s="9" t="s">
        <v>57</v>
      </c>
      <c r="C345" s="9" t="s">
        <v>58</v>
      </c>
      <c r="D345" s="9" t="s">
        <v>11</v>
      </c>
      <c r="E345" s="9" t="s">
        <v>71</v>
      </c>
      <c r="F345" s="9" t="s">
        <v>28</v>
      </c>
      <c r="G345" s="10">
        <v>8</v>
      </c>
      <c r="H345" s="11">
        <v>55000</v>
      </c>
      <c r="I345" s="11">
        <v>61000</v>
      </c>
    </row>
    <row r="346" spans="1:9" x14ac:dyDescent="0.35">
      <c r="A346" s="4">
        <v>46351</v>
      </c>
      <c r="B346" s="5" t="s">
        <v>14</v>
      </c>
      <c r="C346" s="5" t="s">
        <v>15</v>
      </c>
      <c r="D346" s="5" t="s">
        <v>26</v>
      </c>
      <c r="E346" s="5" t="s">
        <v>32</v>
      </c>
      <c r="F346" s="5" t="s">
        <v>56</v>
      </c>
      <c r="G346" s="6">
        <v>15</v>
      </c>
      <c r="H346" s="7">
        <v>61000</v>
      </c>
      <c r="I346" s="7">
        <v>67500</v>
      </c>
    </row>
    <row r="347" spans="1:9" x14ac:dyDescent="0.35">
      <c r="A347" s="8">
        <v>46351</v>
      </c>
      <c r="B347" s="9" t="s">
        <v>14</v>
      </c>
      <c r="C347" s="9" t="s">
        <v>15</v>
      </c>
      <c r="D347" s="9" t="s">
        <v>26</v>
      </c>
      <c r="E347" s="9" t="s">
        <v>32</v>
      </c>
      <c r="F347" s="9" t="s">
        <v>56</v>
      </c>
      <c r="G347" s="10">
        <v>15</v>
      </c>
      <c r="H347" s="11">
        <v>61000</v>
      </c>
      <c r="I347" s="11">
        <v>67500</v>
      </c>
    </row>
    <row r="348" spans="1:9" x14ac:dyDescent="0.35">
      <c r="A348" s="4">
        <v>46352</v>
      </c>
      <c r="B348" s="5" t="s">
        <v>44</v>
      </c>
      <c r="C348" s="5" t="s">
        <v>35</v>
      </c>
      <c r="D348" s="5" t="s">
        <v>16</v>
      </c>
      <c r="E348" s="5" t="s">
        <v>55</v>
      </c>
      <c r="F348" s="5" t="s">
        <v>56</v>
      </c>
      <c r="G348" s="6">
        <v>9</v>
      </c>
      <c r="H348" s="7">
        <v>133000</v>
      </c>
      <c r="I348" s="7">
        <v>134800</v>
      </c>
    </row>
    <row r="349" spans="1:9" x14ac:dyDescent="0.35">
      <c r="A349" s="8">
        <v>46353</v>
      </c>
      <c r="B349" s="9" t="s">
        <v>46</v>
      </c>
      <c r="C349" s="9" t="s">
        <v>25</v>
      </c>
      <c r="D349" s="9" t="s">
        <v>26</v>
      </c>
      <c r="E349" s="9" t="s">
        <v>59</v>
      </c>
      <c r="F349" s="9" t="s">
        <v>28</v>
      </c>
      <c r="G349" s="10">
        <v>4</v>
      </c>
      <c r="H349" s="11">
        <v>65000</v>
      </c>
      <c r="I349" s="11">
        <v>71500</v>
      </c>
    </row>
    <row r="350" spans="1:9" x14ac:dyDescent="0.35">
      <c r="A350" s="4">
        <v>46354</v>
      </c>
      <c r="B350" s="5" t="s">
        <v>61</v>
      </c>
      <c r="C350" s="5" t="s">
        <v>41</v>
      </c>
      <c r="D350" s="5" t="s">
        <v>21</v>
      </c>
      <c r="E350" s="5" t="s">
        <v>51</v>
      </c>
      <c r="F350" s="5" t="s">
        <v>63</v>
      </c>
      <c r="G350" s="6">
        <v>10</v>
      </c>
      <c r="H350" s="7">
        <v>90000</v>
      </c>
      <c r="I350" s="7">
        <v>91800</v>
      </c>
    </row>
    <row r="351" spans="1:9" x14ac:dyDescent="0.35">
      <c r="A351" s="8">
        <v>46355</v>
      </c>
      <c r="B351" s="9" t="s">
        <v>73</v>
      </c>
      <c r="C351" s="9" t="s">
        <v>74</v>
      </c>
      <c r="D351" s="9" t="s">
        <v>31</v>
      </c>
      <c r="E351" s="9" t="s">
        <v>55</v>
      </c>
      <c r="F351" s="9" t="s">
        <v>39</v>
      </c>
      <c r="G351" s="10">
        <v>4</v>
      </c>
      <c r="H351" s="11">
        <v>58000</v>
      </c>
      <c r="I351" s="11">
        <v>64000</v>
      </c>
    </row>
    <row r="352" spans="1:9" x14ac:dyDescent="0.35">
      <c r="A352" s="4">
        <v>46355</v>
      </c>
      <c r="B352" s="5" t="s">
        <v>73</v>
      </c>
      <c r="C352" s="5" t="s">
        <v>74</v>
      </c>
      <c r="D352" s="5" t="s">
        <v>31</v>
      </c>
      <c r="E352" s="5" t="s">
        <v>55</v>
      </c>
      <c r="F352" s="5" t="s">
        <v>39</v>
      </c>
      <c r="G352" s="6">
        <v>4</v>
      </c>
      <c r="H352" s="7">
        <v>58000</v>
      </c>
      <c r="I352" s="7">
        <v>64000</v>
      </c>
    </row>
    <row r="353" spans="1:9" x14ac:dyDescent="0.35">
      <c r="A353" s="8">
        <v>46356</v>
      </c>
      <c r="B353" s="9" t="s">
        <v>24</v>
      </c>
      <c r="C353" s="9" t="s">
        <v>25</v>
      </c>
      <c r="D353" s="9" t="s">
        <v>21</v>
      </c>
      <c r="E353" s="9" t="s">
        <v>71</v>
      </c>
      <c r="F353" s="9" t="s">
        <v>63</v>
      </c>
      <c r="G353" s="10">
        <v>9</v>
      </c>
      <c r="H353" s="11">
        <v>73000</v>
      </c>
      <c r="I353" s="11">
        <v>76000</v>
      </c>
    </row>
    <row r="354" spans="1:9" x14ac:dyDescent="0.35">
      <c r="A354" s="4">
        <v>46357</v>
      </c>
      <c r="B354" s="5" t="s">
        <v>77</v>
      </c>
      <c r="C354" s="5" t="s">
        <v>41</v>
      </c>
      <c r="D354" s="5" t="s">
        <v>11</v>
      </c>
      <c r="E354" s="5" t="s">
        <v>51</v>
      </c>
      <c r="F354" s="5" t="s">
        <v>18</v>
      </c>
      <c r="G354" s="6">
        <v>12</v>
      </c>
      <c r="H354" s="7">
        <v>114000</v>
      </c>
      <c r="I354" s="7">
        <v>115800</v>
      </c>
    </row>
    <row r="355" spans="1:9" x14ac:dyDescent="0.35">
      <c r="A355" s="8">
        <v>46358</v>
      </c>
      <c r="B355" s="9" t="s">
        <v>64</v>
      </c>
      <c r="C355" s="9" t="s">
        <v>35</v>
      </c>
      <c r="D355" s="9" t="s">
        <v>16</v>
      </c>
      <c r="E355" s="9" t="s">
        <v>36</v>
      </c>
      <c r="F355" s="9" t="s">
        <v>52</v>
      </c>
      <c r="G355" s="10">
        <v>6</v>
      </c>
      <c r="H355" s="11">
        <v>117000</v>
      </c>
      <c r="I355" s="11">
        <v>118800</v>
      </c>
    </row>
    <row r="356" spans="1:9" x14ac:dyDescent="0.35">
      <c r="A356" s="4">
        <v>46359</v>
      </c>
      <c r="B356" s="5" t="s">
        <v>9</v>
      </c>
      <c r="C356" s="5" t="s">
        <v>10</v>
      </c>
      <c r="D356" s="5" t="s">
        <v>31</v>
      </c>
      <c r="E356" s="5" t="s">
        <v>12</v>
      </c>
      <c r="F356" s="5" t="s">
        <v>33</v>
      </c>
      <c r="G356" s="6">
        <v>3</v>
      </c>
      <c r="H356" s="7">
        <v>131000</v>
      </c>
      <c r="I356" s="7">
        <v>132800</v>
      </c>
    </row>
    <row r="357" spans="1:9" x14ac:dyDescent="0.35">
      <c r="A357" s="8">
        <v>46360</v>
      </c>
      <c r="B357" s="9" t="s">
        <v>77</v>
      </c>
      <c r="C357" s="9" t="s">
        <v>41</v>
      </c>
      <c r="D357" s="9" t="s">
        <v>11</v>
      </c>
      <c r="E357" s="9" t="s">
        <v>42</v>
      </c>
      <c r="F357" s="9" t="s">
        <v>33</v>
      </c>
      <c r="G357" s="10">
        <v>1</v>
      </c>
      <c r="H357" s="11">
        <v>106000</v>
      </c>
      <c r="I357" s="11">
        <v>107800</v>
      </c>
    </row>
    <row r="358" spans="1:9" x14ac:dyDescent="0.35">
      <c r="A358" s="4">
        <v>46361</v>
      </c>
      <c r="B358" s="5" t="s">
        <v>44</v>
      </c>
      <c r="C358" s="5" t="s">
        <v>35</v>
      </c>
      <c r="D358" s="5" t="s">
        <v>16</v>
      </c>
      <c r="E358" s="5" t="s">
        <v>68</v>
      </c>
      <c r="F358" s="5" t="s">
        <v>13</v>
      </c>
      <c r="G358" s="6">
        <v>3</v>
      </c>
      <c r="H358" s="7">
        <v>137000</v>
      </c>
      <c r="I358" s="7">
        <v>138800</v>
      </c>
    </row>
    <row r="359" spans="1:9" x14ac:dyDescent="0.35">
      <c r="A359" s="8">
        <v>46362</v>
      </c>
      <c r="B359" s="9" t="s">
        <v>9</v>
      </c>
      <c r="C359" s="9" t="s">
        <v>10</v>
      </c>
      <c r="D359" s="9" t="s">
        <v>16</v>
      </c>
      <c r="E359" s="9" t="s">
        <v>27</v>
      </c>
      <c r="F359" s="9" t="s">
        <v>43</v>
      </c>
      <c r="G359" s="10">
        <v>1</v>
      </c>
      <c r="H359" s="11">
        <v>103000</v>
      </c>
      <c r="I359" s="11">
        <v>104800</v>
      </c>
    </row>
    <row r="360" spans="1:9" x14ac:dyDescent="0.35">
      <c r="A360" s="4">
        <v>46363</v>
      </c>
      <c r="B360" s="5" t="s">
        <v>66</v>
      </c>
      <c r="C360" s="5" t="s">
        <v>41</v>
      </c>
      <c r="D360" s="5" t="s">
        <v>16</v>
      </c>
      <c r="E360" s="5" t="s">
        <v>51</v>
      </c>
      <c r="F360" s="5" t="s">
        <v>56</v>
      </c>
      <c r="G360" s="6">
        <v>6</v>
      </c>
      <c r="H360" s="7">
        <v>129000</v>
      </c>
      <c r="I360" s="7">
        <v>130800</v>
      </c>
    </row>
    <row r="361" spans="1:9" x14ac:dyDescent="0.35">
      <c r="A361" s="8">
        <v>46364</v>
      </c>
      <c r="B361" s="9" t="s">
        <v>19</v>
      </c>
      <c r="C361" s="9" t="s">
        <v>20</v>
      </c>
      <c r="D361" s="9" t="s">
        <v>16</v>
      </c>
      <c r="E361" s="9" t="s">
        <v>36</v>
      </c>
      <c r="F361" s="9" t="s">
        <v>63</v>
      </c>
      <c r="G361" s="10">
        <v>1</v>
      </c>
      <c r="H361" s="11">
        <v>52000</v>
      </c>
      <c r="I361" s="11">
        <v>58000</v>
      </c>
    </row>
    <row r="362" spans="1:9" x14ac:dyDescent="0.35">
      <c r="A362" s="4">
        <v>46365</v>
      </c>
      <c r="B362" s="5" t="s">
        <v>65</v>
      </c>
      <c r="C362" s="5" t="s">
        <v>10</v>
      </c>
      <c r="D362" s="5" t="s">
        <v>26</v>
      </c>
      <c r="E362" s="5" t="s">
        <v>47</v>
      </c>
      <c r="F362" s="5" t="s">
        <v>60</v>
      </c>
      <c r="G362" s="6">
        <v>2</v>
      </c>
      <c r="H362" s="7">
        <v>132000</v>
      </c>
      <c r="I362" s="7">
        <v>133800</v>
      </c>
    </row>
    <row r="363" spans="1:9" x14ac:dyDescent="0.35">
      <c r="A363" s="8">
        <v>46366</v>
      </c>
      <c r="B363" s="9" t="s">
        <v>61</v>
      </c>
      <c r="C363" s="9" t="s">
        <v>41</v>
      </c>
      <c r="D363" s="9" t="s">
        <v>11</v>
      </c>
      <c r="E363" s="9" t="s">
        <v>42</v>
      </c>
      <c r="F363" s="9" t="s">
        <v>39</v>
      </c>
      <c r="G363" s="10">
        <v>13</v>
      </c>
      <c r="H363" s="11">
        <v>124000</v>
      </c>
      <c r="I363" s="11">
        <v>125800</v>
      </c>
    </row>
    <row r="364" spans="1:9" x14ac:dyDescent="0.35">
      <c r="A364" s="4">
        <v>46367</v>
      </c>
      <c r="B364" s="5" t="s">
        <v>64</v>
      </c>
      <c r="C364" s="5" t="s">
        <v>35</v>
      </c>
      <c r="D364" s="5" t="s">
        <v>31</v>
      </c>
      <c r="E364" s="5" t="s">
        <v>75</v>
      </c>
      <c r="F364" s="5" t="s">
        <v>45</v>
      </c>
      <c r="G364" s="6">
        <v>10</v>
      </c>
      <c r="H364" s="7">
        <v>114000</v>
      </c>
      <c r="I364" s="7">
        <v>115800</v>
      </c>
    </row>
    <row r="365" spans="1:9" x14ac:dyDescent="0.35">
      <c r="A365" s="8">
        <v>46368</v>
      </c>
      <c r="B365" s="9" t="s">
        <v>65</v>
      </c>
      <c r="C365" s="9" t="s">
        <v>10</v>
      </c>
      <c r="D365" s="9" t="s">
        <v>11</v>
      </c>
      <c r="E365" s="9" t="s">
        <v>27</v>
      </c>
      <c r="F365" s="9" t="s">
        <v>48</v>
      </c>
      <c r="G365" s="10">
        <v>15</v>
      </c>
      <c r="H365" s="11">
        <v>127000</v>
      </c>
      <c r="I365" s="11">
        <v>128800</v>
      </c>
    </row>
    <row r="366" spans="1:9" x14ac:dyDescent="0.35">
      <c r="A366" s="4">
        <v>46369</v>
      </c>
      <c r="B366" s="5" t="s">
        <v>29</v>
      </c>
      <c r="C366" s="5" t="s">
        <v>30</v>
      </c>
      <c r="D366" s="5" t="s">
        <v>11</v>
      </c>
      <c r="E366" s="5" t="s">
        <v>62</v>
      </c>
      <c r="F366" s="5" t="s">
        <v>13</v>
      </c>
      <c r="G366" s="6">
        <v>4</v>
      </c>
      <c r="H366" s="7">
        <v>58000</v>
      </c>
      <c r="I366" s="7">
        <v>64000</v>
      </c>
    </row>
    <row r="367" spans="1:9" x14ac:dyDescent="0.35">
      <c r="A367" s="8">
        <v>46370</v>
      </c>
      <c r="B367" s="9" t="s">
        <v>53</v>
      </c>
      <c r="C367" s="9" t="s">
        <v>54</v>
      </c>
      <c r="D367" s="9" t="s">
        <v>21</v>
      </c>
      <c r="E367" s="9" t="s">
        <v>55</v>
      </c>
      <c r="F367" s="9" t="s">
        <v>45</v>
      </c>
      <c r="G367" s="10">
        <v>14</v>
      </c>
      <c r="H367" s="11">
        <v>58000</v>
      </c>
      <c r="I367" s="11">
        <v>64000</v>
      </c>
    </row>
    <row r="368" spans="1:9" x14ac:dyDescent="0.35">
      <c r="A368" s="4">
        <v>46371</v>
      </c>
      <c r="B368" s="5" t="s">
        <v>9</v>
      </c>
      <c r="C368" s="5" t="s">
        <v>10</v>
      </c>
      <c r="D368" s="5" t="s">
        <v>21</v>
      </c>
      <c r="E368" s="5" t="s">
        <v>59</v>
      </c>
      <c r="F368" s="5" t="s">
        <v>37</v>
      </c>
      <c r="G368" s="6">
        <v>6</v>
      </c>
      <c r="H368" s="7">
        <v>135000</v>
      </c>
      <c r="I368" s="7">
        <v>136800</v>
      </c>
    </row>
    <row r="369" spans="1:9" x14ac:dyDescent="0.35">
      <c r="A369" s="8">
        <v>46372</v>
      </c>
      <c r="B369" s="9" t="s">
        <v>66</v>
      </c>
      <c r="C369" s="9" t="s">
        <v>41</v>
      </c>
      <c r="D369" s="9" t="s">
        <v>31</v>
      </c>
      <c r="E369" s="9" t="s">
        <v>42</v>
      </c>
      <c r="F369" s="9" t="s">
        <v>45</v>
      </c>
      <c r="G369" s="10">
        <v>8</v>
      </c>
      <c r="H369" s="11">
        <v>119000</v>
      </c>
      <c r="I369" s="11">
        <v>120800</v>
      </c>
    </row>
    <row r="370" spans="1:9" x14ac:dyDescent="0.35">
      <c r="A370" s="4">
        <v>46373</v>
      </c>
      <c r="B370" s="5" t="s">
        <v>19</v>
      </c>
      <c r="C370" s="5" t="s">
        <v>20</v>
      </c>
      <c r="D370" s="5" t="s">
        <v>26</v>
      </c>
      <c r="E370" s="5" t="s">
        <v>36</v>
      </c>
      <c r="F370" s="5" t="s">
        <v>13</v>
      </c>
      <c r="G370" s="6">
        <v>11</v>
      </c>
      <c r="H370" s="7">
        <v>54000</v>
      </c>
      <c r="I370" s="7">
        <v>60000</v>
      </c>
    </row>
    <row r="371" spans="1:9" x14ac:dyDescent="0.35">
      <c r="A371" s="8">
        <v>46374</v>
      </c>
      <c r="B371" s="9" t="s">
        <v>38</v>
      </c>
      <c r="C371" s="9" t="s">
        <v>10</v>
      </c>
      <c r="D371" s="9" t="s">
        <v>31</v>
      </c>
      <c r="E371" s="9" t="s">
        <v>71</v>
      </c>
      <c r="F371" s="9" t="s">
        <v>23</v>
      </c>
      <c r="G371" s="10">
        <v>8</v>
      </c>
      <c r="H371" s="11">
        <v>96000</v>
      </c>
      <c r="I371" s="11">
        <v>97800</v>
      </c>
    </row>
    <row r="372" spans="1:9" x14ac:dyDescent="0.35">
      <c r="A372" s="4">
        <v>46375</v>
      </c>
      <c r="B372" s="5" t="s">
        <v>61</v>
      </c>
      <c r="C372" s="5" t="s">
        <v>41</v>
      </c>
      <c r="D372" s="5" t="s">
        <v>16</v>
      </c>
      <c r="E372" s="5" t="s">
        <v>51</v>
      </c>
      <c r="F372" s="5" t="s">
        <v>28</v>
      </c>
      <c r="G372" s="6">
        <v>7</v>
      </c>
      <c r="H372" s="7">
        <v>122000</v>
      </c>
      <c r="I372" s="7">
        <v>123800</v>
      </c>
    </row>
    <row r="373" spans="1:9" x14ac:dyDescent="0.35">
      <c r="A373" s="8">
        <v>46376</v>
      </c>
      <c r="B373" s="9" t="s">
        <v>73</v>
      </c>
      <c r="C373" s="9" t="s">
        <v>74</v>
      </c>
      <c r="D373" s="9" t="s">
        <v>31</v>
      </c>
      <c r="E373" s="9" t="s">
        <v>22</v>
      </c>
      <c r="F373" s="9" t="s">
        <v>23</v>
      </c>
      <c r="G373" s="10">
        <v>2</v>
      </c>
      <c r="H373" s="11">
        <v>59000</v>
      </c>
      <c r="I373" s="11">
        <v>65000</v>
      </c>
    </row>
    <row r="374" spans="1:9" x14ac:dyDescent="0.35">
      <c r="A374" s="4">
        <v>46377</v>
      </c>
      <c r="B374" s="5" t="s">
        <v>76</v>
      </c>
      <c r="C374" s="5" t="s">
        <v>10</v>
      </c>
      <c r="D374" s="5" t="s">
        <v>26</v>
      </c>
      <c r="E374" s="5" t="s">
        <v>27</v>
      </c>
      <c r="F374" s="5" t="s">
        <v>56</v>
      </c>
      <c r="G374" s="6">
        <v>1</v>
      </c>
      <c r="H374" s="7">
        <v>112000</v>
      </c>
      <c r="I374" s="7">
        <v>113800</v>
      </c>
    </row>
    <row r="375" spans="1:9" x14ac:dyDescent="0.35">
      <c r="A375" s="8">
        <v>46378</v>
      </c>
      <c r="B375" s="9" t="s">
        <v>29</v>
      </c>
      <c r="C375" s="9" t="s">
        <v>30</v>
      </c>
      <c r="D375" s="9" t="s">
        <v>26</v>
      </c>
      <c r="E375" s="9" t="s">
        <v>62</v>
      </c>
      <c r="F375" s="9" t="s">
        <v>63</v>
      </c>
      <c r="G375" s="10">
        <v>8</v>
      </c>
      <c r="H375" s="11">
        <v>70000</v>
      </c>
      <c r="I375" s="11">
        <v>76500</v>
      </c>
    </row>
    <row r="376" spans="1:9" x14ac:dyDescent="0.35">
      <c r="A376" s="4">
        <v>46379</v>
      </c>
      <c r="B376" s="5" t="s">
        <v>67</v>
      </c>
      <c r="C376" s="5" t="s">
        <v>54</v>
      </c>
      <c r="D376" s="5" t="s">
        <v>31</v>
      </c>
      <c r="E376" s="5" t="s">
        <v>55</v>
      </c>
      <c r="F376" s="5" t="s">
        <v>18</v>
      </c>
      <c r="G376" s="6">
        <v>12</v>
      </c>
      <c r="H376" s="7">
        <v>66000</v>
      </c>
      <c r="I376" s="7">
        <v>72500</v>
      </c>
    </row>
    <row r="377" spans="1:9" x14ac:dyDescent="0.35">
      <c r="A377" s="8">
        <v>46380</v>
      </c>
      <c r="B377" s="9" t="s">
        <v>65</v>
      </c>
      <c r="C377" s="9" t="s">
        <v>10</v>
      </c>
      <c r="D377" s="9" t="s">
        <v>21</v>
      </c>
      <c r="E377" s="9" t="s">
        <v>59</v>
      </c>
      <c r="F377" s="9" t="s">
        <v>13</v>
      </c>
      <c r="G377" s="10">
        <v>13</v>
      </c>
      <c r="H377" s="11">
        <v>129000</v>
      </c>
      <c r="I377" s="11">
        <v>130800</v>
      </c>
    </row>
    <row r="378" spans="1:9" x14ac:dyDescent="0.35">
      <c r="A378" s="4">
        <v>46381</v>
      </c>
      <c r="B378" s="5" t="s">
        <v>77</v>
      </c>
      <c r="C378" s="5" t="s">
        <v>41</v>
      </c>
      <c r="D378" s="5" t="s">
        <v>31</v>
      </c>
      <c r="E378" s="5" t="s">
        <v>17</v>
      </c>
      <c r="F378" s="5" t="s">
        <v>13</v>
      </c>
      <c r="G378" s="6">
        <v>9</v>
      </c>
      <c r="H378" s="7">
        <v>110000</v>
      </c>
      <c r="I378" s="7">
        <v>111800</v>
      </c>
    </row>
    <row r="379" spans="1:9" x14ac:dyDescent="0.35">
      <c r="A379" s="8">
        <v>46382</v>
      </c>
      <c r="B379" s="9" t="s">
        <v>44</v>
      </c>
      <c r="C379" s="9" t="s">
        <v>35</v>
      </c>
      <c r="D379" s="9" t="s">
        <v>21</v>
      </c>
      <c r="E379" s="9" t="s">
        <v>22</v>
      </c>
      <c r="F379" s="9" t="s">
        <v>39</v>
      </c>
      <c r="G379" s="10">
        <v>5</v>
      </c>
      <c r="H379" s="11">
        <v>112000</v>
      </c>
      <c r="I379" s="11">
        <v>113800</v>
      </c>
    </row>
    <row r="380" spans="1:9" x14ac:dyDescent="0.35">
      <c r="A380" s="4">
        <v>46383</v>
      </c>
      <c r="B380" s="5" t="s">
        <v>46</v>
      </c>
      <c r="C380" s="5" t="s">
        <v>25</v>
      </c>
      <c r="D380" s="5" t="s">
        <v>16</v>
      </c>
      <c r="E380" s="5" t="s">
        <v>47</v>
      </c>
      <c r="F380" s="5" t="s">
        <v>28</v>
      </c>
      <c r="G380" s="6">
        <v>10</v>
      </c>
      <c r="H380" s="7">
        <v>59000</v>
      </c>
      <c r="I380" s="7">
        <v>65000</v>
      </c>
    </row>
    <row r="381" spans="1:9" x14ac:dyDescent="0.35">
      <c r="A381" s="8">
        <v>46383</v>
      </c>
      <c r="B381" s="9" t="s">
        <v>46</v>
      </c>
      <c r="C381" s="9" t="s">
        <v>25</v>
      </c>
      <c r="D381" s="9" t="s">
        <v>16</v>
      </c>
      <c r="E381" s="9" t="s">
        <v>47</v>
      </c>
      <c r="F381" s="9" t="s">
        <v>28</v>
      </c>
      <c r="G381" s="10">
        <v>10</v>
      </c>
      <c r="H381" s="11">
        <v>59000</v>
      </c>
      <c r="I381" s="11">
        <v>65000</v>
      </c>
    </row>
    <row r="382" spans="1:9" x14ac:dyDescent="0.35">
      <c r="A382" s="4">
        <v>46384</v>
      </c>
      <c r="B382" s="5" t="s">
        <v>72</v>
      </c>
      <c r="C382" s="5" t="s">
        <v>15</v>
      </c>
      <c r="D382" s="5" t="s">
        <v>11</v>
      </c>
      <c r="E382" s="5" t="s">
        <v>32</v>
      </c>
      <c r="F382" s="5" t="s">
        <v>37</v>
      </c>
      <c r="G382" s="6">
        <v>14</v>
      </c>
      <c r="H382" s="7">
        <v>68000</v>
      </c>
      <c r="I382" s="7">
        <v>74500</v>
      </c>
    </row>
    <row r="383" spans="1:9" x14ac:dyDescent="0.35">
      <c r="A383" s="8">
        <v>46385</v>
      </c>
      <c r="B383" s="9" t="s">
        <v>19</v>
      </c>
      <c r="C383" s="9" t="s">
        <v>20</v>
      </c>
      <c r="D383" s="9" t="s">
        <v>16</v>
      </c>
      <c r="E383" s="9" t="s">
        <v>75</v>
      </c>
      <c r="F383" s="9" t="s">
        <v>13</v>
      </c>
      <c r="G383" s="10">
        <v>13</v>
      </c>
      <c r="H383" s="11">
        <v>48000</v>
      </c>
      <c r="I383" s="11">
        <v>53000</v>
      </c>
    </row>
    <row r="384" spans="1:9" x14ac:dyDescent="0.35">
      <c r="A384" s="4">
        <v>46386</v>
      </c>
      <c r="B384" s="5" t="s">
        <v>24</v>
      </c>
      <c r="C384" s="5" t="s">
        <v>25</v>
      </c>
      <c r="D384" s="5" t="s">
        <v>16</v>
      </c>
      <c r="E384" s="5" t="s">
        <v>27</v>
      </c>
      <c r="F384" s="5" t="s">
        <v>52</v>
      </c>
      <c r="G384" s="6">
        <v>12</v>
      </c>
      <c r="H384" s="7">
        <v>69000</v>
      </c>
      <c r="I384" s="7">
        <v>75500</v>
      </c>
    </row>
    <row r="385" spans="1:9" x14ac:dyDescent="0.35">
      <c r="A385" s="8">
        <v>46387</v>
      </c>
      <c r="B385" s="9" t="s">
        <v>61</v>
      </c>
      <c r="C385" s="9" t="s">
        <v>41</v>
      </c>
      <c r="D385" s="9" t="s">
        <v>16</v>
      </c>
      <c r="E385" s="9" t="s">
        <v>42</v>
      </c>
      <c r="F385" s="9" t="s">
        <v>43</v>
      </c>
      <c r="G385" s="10">
        <v>7</v>
      </c>
      <c r="H385" s="11">
        <v>94000</v>
      </c>
      <c r="I385" s="11">
        <v>95800</v>
      </c>
    </row>
    <row r="386" spans="1:9" x14ac:dyDescent="0.35">
      <c r="A386" s="4">
        <v>46388</v>
      </c>
      <c r="B386" s="5" t="s">
        <v>34</v>
      </c>
      <c r="C386" s="5" t="s">
        <v>35</v>
      </c>
      <c r="D386" s="5" t="s">
        <v>11</v>
      </c>
      <c r="E386" s="5" t="s">
        <v>36</v>
      </c>
      <c r="F386" s="5" t="s">
        <v>23</v>
      </c>
      <c r="G386" s="6">
        <v>8</v>
      </c>
      <c r="H386" s="7">
        <v>95000</v>
      </c>
      <c r="I386" s="7">
        <v>96800</v>
      </c>
    </row>
    <row r="387" spans="1:9" x14ac:dyDescent="0.35">
      <c r="A387" s="8">
        <v>46389</v>
      </c>
      <c r="B387" s="9" t="s">
        <v>9</v>
      </c>
      <c r="C387" s="9" t="s">
        <v>10</v>
      </c>
      <c r="D387" s="9" t="s">
        <v>11</v>
      </c>
      <c r="E387" s="9" t="s">
        <v>27</v>
      </c>
      <c r="F387" s="9" t="s">
        <v>13</v>
      </c>
      <c r="G387" s="10">
        <v>6</v>
      </c>
      <c r="H387" s="11">
        <v>137000</v>
      </c>
      <c r="I387" s="11">
        <v>138800</v>
      </c>
    </row>
    <row r="388" spans="1:9" x14ac:dyDescent="0.35">
      <c r="A388" s="4">
        <v>46390</v>
      </c>
      <c r="B388" s="5" t="s">
        <v>49</v>
      </c>
      <c r="C388" s="5" t="s">
        <v>50</v>
      </c>
      <c r="D388" s="5" t="s">
        <v>11</v>
      </c>
      <c r="E388" s="5" t="s">
        <v>17</v>
      </c>
      <c r="F388" s="5" t="s">
        <v>13</v>
      </c>
      <c r="G388" s="6">
        <v>10</v>
      </c>
      <c r="H388" s="7">
        <v>43000</v>
      </c>
      <c r="I388" s="7">
        <v>48000</v>
      </c>
    </row>
    <row r="389" spans="1:9" x14ac:dyDescent="0.35">
      <c r="A389" s="8">
        <v>46391</v>
      </c>
      <c r="B389" s="9" t="s">
        <v>44</v>
      </c>
      <c r="C389" s="9" t="s">
        <v>35</v>
      </c>
      <c r="D389" s="9" t="s">
        <v>26</v>
      </c>
      <c r="E389" s="9" t="s">
        <v>68</v>
      </c>
      <c r="F389" s="9" t="s">
        <v>13</v>
      </c>
      <c r="G389" s="10">
        <v>3</v>
      </c>
      <c r="H389" s="11">
        <v>115000</v>
      </c>
      <c r="I389" s="11">
        <v>116800</v>
      </c>
    </row>
    <row r="390" spans="1:9" x14ac:dyDescent="0.35">
      <c r="A390" s="4">
        <v>46392</v>
      </c>
      <c r="B390" s="5" t="s">
        <v>9</v>
      </c>
      <c r="C390" s="5" t="s">
        <v>10</v>
      </c>
      <c r="D390" s="5" t="s">
        <v>11</v>
      </c>
      <c r="E390" s="5" t="s">
        <v>27</v>
      </c>
      <c r="F390" s="5" t="s">
        <v>18</v>
      </c>
      <c r="G390" s="6">
        <v>9</v>
      </c>
      <c r="H390" s="7">
        <v>137000</v>
      </c>
      <c r="I390" s="7">
        <v>138800</v>
      </c>
    </row>
    <row r="391" spans="1:9" x14ac:dyDescent="0.35">
      <c r="A391" s="8">
        <v>46393</v>
      </c>
      <c r="B391" s="9" t="s">
        <v>40</v>
      </c>
      <c r="C391" s="9" t="s">
        <v>41</v>
      </c>
      <c r="D391" s="9" t="s">
        <v>26</v>
      </c>
      <c r="E391" s="9" t="s">
        <v>42</v>
      </c>
      <c r="F391" s="9" t="s">
        <v>60</v>
      </c>
      <c r="G391" s="10">
        <v>10</v>
      </c>
      <c r="H391" s="11">
        <v>136000</v>
      </c>
      <c r="I391" s="11">
        <v>137800</v>
      </c>
    </row>
    <row r="392" spans="1:9" x14ac:dyDescent="0.35">
      <c r="A392" s="4">
        <v>46394</v>
      </c>
      <c r="B392" s="5" t="s">
        <v>64</v>
      </c>
      <c r="C392" s="5" t="s">
        <v>35</v>
      </c>
      <c r="D392" s="5" t="s">
        <v>11</v>
      </c>
      <c r="E392" s="5" t="s">
        <v>36</v>
      </c>
      <c r="F392" s="5" t="s">
        <v>33</v>
      </c>
      <c r="G392" s="6">
        <v>11</v>
      </c>
      <c r="H392" s="7">
        <v>116000</v>
      </c>
      <c r="I392" s="7">
        <v>117800</v>
      </c>
    </row>
    <row r="393" spans="1:9" x14ac:dyDescent="0.35">
      <c r="A393" s="8">
        <v>46395</v>
      </c>
      <c r="B393" s="9" t="s">
        <v>57</v>
      </c>
      <c r="C393" s="9" t="s">
        <v>58</v>
      </c>
      <c r="D393" s="9" t="s">
        <v>26</v>
      </c>
      <c r="E393" s="9" t="s">
        <v>12</v>
      </c>
      <c r="F393" s="9" t="s">
        <v>63</v>
      </c>
      <c r="G393" s="10">
        <v>8</v>
      </c>
      <c r="H393" s="11">
        <v>74000</v>
      </c>
      <c r="I393" s="11">
        <v>77000</v>
      </c>
    </row>
    <row r="394" spans="1:9" x14ac:dyDescent="0.35">
      <c r="A394" s="4">
        <v>46396</v>
      </c>
      <c r="B394" s="5" t="s">
        <v>49</v>
      </c>
      <c r="C394" s="5" t="s">
        <v>50</v>
      </c>
      <c r="D394" s="5" t="s">
        <v>16</v>
      </c>
      <c r="E394" s="5" t="s">
        <v>51</v>
      </c>
      <c r="F394" s="5" t="s">
        <v>33</v>
      </c>
      <c r="G394" s="6">
        <v>7</v>
      </c>
      <c r="H394" s="7">
        <v>46000</v>
      </c>
      <c r="I394" s="7">
        <v>51000</v>
      </c>
    </row>
    <row r="395" spans="1:9" x14ac:dyDescent="0.35">
      <c r="A395" s="8">
        <v>46397</v>
      </c>
      <c r="B395" s="9" t="s">
        <v>78</v>
      </c>
      <c r="C395" s="9" t="s">
        <v>35</v>
      </c>
      <c r="D395" s="9" t="s">
        <v>31</v>
      </c>
      <c r="E395" s="9" t="s">
        <v>36</v>
      </c>
      <c r="F395" s="9" t="s">
        <v>28</v>
      </c>
      <c r="G395" s="10">
        <v>8</v>
      </c>
      <c r="H395" s="11">
        <v>99000</v>
      </c>
      <c r="I395" s="11">
        <v>100800</v>
      </c>
    </row>
    <row r="396" spans="1:9" x14ac:dyDescent="0.35">
      <c r="A396" s="4">
        <v>46398</v>
      </c>
      <c r="B396" s="5" t="s">
        <v>76</v>
      </c>
      <c r="C396" s="5" t="s">
        <v>10</v>
      </c>
      <c r="D396" s="5" t="s">
        <v>26</v>
      </c>
      <c r="E396" s="5" t="s">
        <v>12</v>
      </c>
      <c r="F396" s="5" t="s">
        <v>43</v>
      </c>
      <c r="G396" s="6">
        <v>2</v>
      </c>
      <c r="H396" s="7">
        <v>119000</v>
      </c>
      <c r="I396" s="7">
        <v>120800</v>
      </c>
    </row>
    <row r="397" spans="1:9" x14ac:dyDescent="0.35">
      <c r="A397" s="8">
        <v>46399</v>
      </c>
      <c r="B397" s="9" t="s">
        <v>14</v>
      </c>
      <c r="C397" s="9" t="s">
        <v>15</v>
      </c>
      <c r="D397" s="9" t="s">
        <v>31</v>
      </c>
      <c r="E397" s="9" t="s">
        <v>51</v>
      </c>
      <c r="F397" s="9" t="s">
        <v>33</v>
      </c>
      <c r="G397" s="10">
        <v>1</v>
      </c>
      <c r="H397" s="11">
        <v>50000</v>
      </c>
      <c r="I397" s="11">
        <v>55000</v>
      </c>
    </row>
    <row r="398" spans="1:9" x14ac:dyDescent="0.35">
      <c r="A398" s="4">
        <v>46400</v>
      </c>
      <c r="B398" s="5" t="s">
        <v>19</v>
      </c>
      <c r="C398" s="5" t="s">
        <v>20</v>
      </c>
      <c r="D398" s="5" t="s">
        <v>31</v>
      </c>
      <c r="E398" s="5" t="s">
        <v>68</v>
      </c>
      <c r="F398" s="5" t="s">
        <v>45</v>
      </c>
      <c r="G398" s="6">
        <v>2</v>
      </c>
      <c r="H398" s="7">
        <v>43000</v>
      </c>
      <c r="I398" s="7">
        <v>48000</v>
      </c>
    </row>
    <row r="399" spans="1:9" x14ac:dyDescent="0.35">
      <c r="A399" s="8">
        <v>46400</v>
      </c>
      <c r="B399" s="9" t="s">
        <v>19</v>
      </c>
      <c r="C399" s="9" t="s">
        <v>20</v>
      </c>
      <c r="D399" s="9" t="s">
        <v>31</v>
      </c>
      <c r="E399" s="9" t="s">
        <v>68</v>
      </c>
      <c r="F399" s="9" t="s">
        <v>45</v>
      </c>
      <c r="G399" s="10">
        <v>2</v>
      </c>
      <c r="H399" s="11">
        <v>43000</v>
      </c>
      <c r="I399" s="11">
        <v>48000</v>
      </c>
    </row>
    <row r="400" spans="1:9" x14ac:dyDescent="0.35">
      <c r="A400" s="4">
        <v>46401</v>
      </c>
      <c r="B400" s="5" t="s">
        <v>38</v>
      </c>
      <c r="C400" s="5" t="s">
        <v>10</v>
      </c>
      <c r="D400" s="5" t="s">
        <v>26</v>
      </c>
      <c r="E400" s="5" t="s">
        <v>27</v>
      </c>
      <c r="F400" s="5" t="s">
        <v>23</v>
      </c>
      <c r="G400" s="6">
        <v>7</v>
      </c>
      <c r="H400" s="7">
        <v>103000</v>
      </c>
      <c r="I400" s="7">
        <v>104800</v>
      </c>
    </row>
    <row r="401" spans="1:9" x14ac:dyDescent="0.35">
      <c r="A401" s="8">
        <v>46402</v>
      </c>
      <c r="B401" s="9" t="s">
        <v>61</v>
      </c>
      <c r="C401" s="9" t="s">
        <v>41</v>
      </c>
      <c r="D401" s="9" t="s">
        <v>26</v>
      </c>
      <c r="E401" s="9" t="s">
        <v>62</v>
      </c>
      <c r="F401" s="9" t="s">
        <v>33</v>
      </c>
      <c r="G401" s="10">
        <v>11</v>
      </c>
      <c r="H401" s="11">
        <v>106000</v>
      </c>
      <c r="I401" s="11">
        <v>107800</v>
      </c>
    </row>
    <row r="402" spans="1:9" x14ac:dyDescent="0.35">
      <c r="A402" s="4">
        <v>46403</v>
      </c>
      <c r="B402" s="5" t="s">
        <v>44</v>
      </c>
      <c r="C402" s="5" t="s">
        <v>35</v>
      </c>
      <c r="D402" s="5" t="s">
        <v>31</v>
      </c>
      <c r="E402" s="5" t="s">
        <v>68</v>
      </c>
      <c r="F402" s="5" t="s">
        <v>43</v>
      </c>
      <c r="G402" s="6">
        <v>7</v>
      </c>
      <c r="H402" s="7">
        <v>112000</v>
      </c>
      <c r="I402" s="7">
        <v>113800</v>
      </c>
    </row>
    <row r="403" spans="1:9" x14ac:dyDescent="0.35">
      <c r="A403" s="8">
        <v>46404</v>
      </c>
      <c r="B403" s="9" t="s">
        <v>69</v>
      </c>
      <c r="C403" s="9" t="s">
        <v>70</v>
      </c>
      <c r="D403" s="9" t="s">
        <v>16</v>
      </c>
      <c r="E403" s="9" t="s">
        <v>71</v>
      </c>
      <c r="F403" s="9" t="s">
        <v>23</v>
      </c>
      <c r="G403" s="10">
        <v>11</v>
      </c>
      <c r="H403" s="11">
        <v>50000</v>
      </c>
      <c r="I403" s="11">
        <v>55000</v>
      </c>
    </row>
    <row r="404" spans="1:9" x14ac:dyDescent="0.35">
      <c r="A404" s="4">
        <v>46405</v>
      </c>
      <c r="B404" s="5" t="s">
        <v>77</v>
      </c>
      <c r="C404" s="5" t="s">
        <v>41</v>
      </c>
      <c r="D404" s="5" t="s">
        <v>31</v>
      </c>
      <c r="E404" s="5" t="s">
        <v>32</v>
      </c>
      <c r="F404" s="5" t="s">
        <v>33</v>
      </c>
      <c r="G404" s="6">
        <v>5</v>
      </c>
      <c r="H404" s="7">
        <v>116000</v>
      </c>
      <c r="I404" s="7">
        <v>117800</v>
      </c>
    </row>
    <row r="405" spans="1:9" x14ac:dyDescent="0.35">
      <c r="A405" s="8">
        <v>46405</v>
      </c>
      <c r="B405" s="9" t="s">
        <v>77</v>
      </c>
      <c r="C405" s="9" t="s">
        <v>41</v>
      </c>
      <c r="D405" s="9" t="s">
        <v>31</v>
      </c>
      <c r="E405" s="9" t="s">
        <v>32</v>
      </c>
      <c r="F405" s="9" t="s">
        <v>33</v>
      </c>
      <c r="G405" s="10">
        <v>5</v>
      </c>
      <c r="H405" s="11">
        <v>116000</v>
      </c>
      <c r="I405" s="11">
        <v>117800</v>
      </c>
    </row>
    <row r="406" spans="1:9" x14ac:dyDescent="0.35">
      <c r="A406" s="4">
        <v>46406</v>
      </c>
      <c r="B406" s="5" t="s">
        <v>19</v>
      </c>
      <c r="C406" s="5" t="s">
        <v>20</v>
      </c>
      <c r="D406" s="5" t="s">
        <v>16</v>
      </c>
      <c r="E406" s="5" t="s">
        <v>36</v>
      </c>
      <c r="F406" s="5" t="s">
        <v>56</v>
      </c>
      <c r="G406" s="6">
        <v>9</v>
      </c>
      <c r="H406" s="7">
        <v>53000</v>
      </c>
      <c r="I406" s="7">
        <v>59000</v>
      </c>
    </row>
    <row r="407" spans="1:9" x14ac:dyDescent="0.35">
      <c r="A407" s="8">
        <v>46407</v>
      </c>
      <c r="B407" s="9" t="s">
        <v>65</v>
      </c>
      <c r="C407" s="9" t="s">
        <v>10</v>
      </c>
      <c r="D407" s="9" t="s">
        <v>11</v>
      </c>
      <c r="E407" s="9" t="s">
        <v>59</v>
      </c>
      <c r="F407" s="9" t="s">
        <v>28</v>
      </c>
      <c r="G407" s="10">
        <v>2</v>
      </c>
      <c r="H407" s="11">
        <v>113000</v>
      </c>
      <c r="I407" s="11">
        <v>114800</v>
      </c>
    </row>
    <row r="408" spans="1:9" x14ac:dyDescent="0.35">
      <c r="A408" s="4">
        <v>46408</v>
      </c>
      <c r="B408" s="5" t="s">
        <v>77</v>
      </c>
      <c r="C408" s="5" t="s">
        <v>41</v>
      </c>
      <c r="D408" s="5" t="s">
        <v>21</v>
      </c>
      <c r="E408" s="5" t="s">
        <v>32</v>
      </c>
      <c r="F408" s="5" t="s">
        <v>48</v>
      </c>
      <c r="G408" s="6">
        <v>13</v>
      </c>
      <c r="H408" s="7">
        <v>110000</v>
      </c>
      <c r="I408" s="7">
        <v>111800</v>
      </c>
    </row>
    <row r="409" spans="1:9" x14ac:dyDescent="0.35">
      <c r="A409" s="8">
        <v>46409</v>
      </c>
      <c r="B409" s="9" t="s">
        <v>19</v>
      </c>
      <c r="C409" s="9" t="s">
        <v>20</v>
      </c>
      <c r="D409" s="9" t="s">
        <v>31</v>
      </c>
      <c r="E409" s="9" t="s">
        <v>68</v>
      </c>
      <c r="F409" s="9" t="s">
        <v>48</v>
      </c>
      <c r="G409" s="10">
        <v>5</v>
      </c>
      <c r="H409" s="11">
        <v>39000</v>
      </c>
      <c r="I409" s="11">
        <v>44000</v>
      </c>
    </row>
    <row r="410" spans="1:9" x14ac:dyDescent="0.35">
      <c r="A410" s="4">
        <v>46409</v>
      </c>
      <c r="B410" s="5" t="s">
        <v>19</v>
      </c>
      <c r="C410" s="5" t="s">
        <v>20</v>
      </c>
      <c r="D410" s="5" t="s">
        <v>31</v>
      </c>
      <c r="E410" s="5" t="s">
        <v>68</v>
      </c>
      <c r="F410" s="5" t="s">
        <v>48</v>
      </c>
      <c r="G410" s="6">
        <v>5</v>
      </c>
      <c r="H410" s="7">
        <v>39000</v>
      </c>
      <c r="I410" s="7">
        <v>44000</v>
      </c>
    </row>
    <row r="411" spans="1:9" x14ac:dyDescent="0.35">
      <c r="A411" s="8">
        <v>46410</v>
      </c>
      <c r="B411" s="9" t="s">
        <v>65</v>
      </c>
      <c r="C411" s="9" t="s">
        <v>10</v>
      </c>
      <c r="D411" s="9" t="s">
        <v>16</v>
      </c>
      <c r="E411" s="9" t="s">
        <v>59</v>
      </c>
      <c r="F411" s="9" t="s">
        <v>28</v>
      </c>
      <c r="G411" s="10">
        <v>4</v>
      </c>
      <c r="H411" s="11">
        <v>109000</v>
      </c>
      <c r="I411" s="11">
        <v>110800</v>
      </c>
    </row>
    <row r="412" spans="1:9" x14ac:dyDescent="0.35">
      <c r="A412" s="4">
        <v>46411</v>
      </c>
      <c r="B412" s="5" t="s">
        <v>66</v>
      </c>
      <c r="C412" s="5" t="s">
        <v>41</v>
      </c>
      <c r="D412" s="5" t="s">
        <v>21</v>
      </c>
      <c r="E412" s="5" t="s">
        <v>51</v>
      </c>
      <c r="F412" s="5" t="s">
        <v>18</v>
      </c>
      <c r="G412" s="6">
        <v>6</v>
      </c>
      <c r="H412" s="7">
        <v>100000</v>
      </c>
      <c r="I412" s="7">
        <v>101800</v>
      </c>
    </row>
    <row r="413" spans="1:9" x14ac:dyDescent="0.35">
      <c r="A413" s="8">
        <v>46412</v>
      </c>
      <c r="B413" s="9" t="s">
        <v>64</v>
      </c>
      <c r="C413" s="9" t="s">
        <v>35</v>
      </c>
      <c r="D413" s="9" t="s">
        <v>11</v>
      </c>
      <c r="E413" s="9" t="s">
        <v>36</v>
      </c>
      <c r="F413" s="9" t="s">
        <v>33</v>
      </c>
      <c r="G413" s="10">
        <v>7</v>
      </c>
      <c r="H413" s="11">
        <v>84000</v>
      </c>
      <c r="I413" s="11">
        <v>85800</v>
      </c>
    </row>
    <row r="414" spans="1:9" x14ac:dyDescent="0.35">
      <c r="A414" s="4">
        <v>46413</v>
      </c>
      <c r="B414" s="5" t="s">
        <v>76</v>
      </c>
      <c r="C414" s="5" t="s">
        <v>10</v>
      </c>
      <c r="D414" s="5" t="s">
        <v>16</v>
      </c>
      <c r="E414" s="5" t="s">
        <v>59</v>
      </c>
      <c r="F414" s="5" t="s">
        <v>39</v>
      </c>
      <c r="G414" s="6">
        <v>5</v>
      </c>
      <c r="H414" s="7">
        <v>123000</v>
      </c>
      <c r="I414" s="7">
        <v>124800</v>
      </c>
    </row>
    <row r="415" spans="1:9" x14ac:dyDescent="0.35">
      <c r="A415" s="8">
        <v>46414</v>
      </c>
      <c r="B415" s="9" t="s">
        <v>77</v>
      </c>
      <c r="C415" s="9" t="s">
        <v>41</v>
      </c>
      <c r="D415" s="9" t="s">
        <v>11</v>
      </c>
      <c r="E415" s="9" t="s">
        <v>51</v>
      </c>
      <c r="F415" s="9" t="s">
        <v>56</v>
      </c>
      <c r="G415" s="10">
        <v>2</v>
      </c>
      <c r="H415" s="11">
        <v>100000</v>
      </c>
      <c r="I415" s="11">
        <v>101800</v>
      </c>
    </row>
    <row r="416" spans="1:9" x14ac:dyDescent="0.35">
      <c r="A416" s="4">
        <v>46415</v>
      </c>
      <c r="B416" s="5" t="s">
        <v>19</v>
      </c>
      <c r="C416" s="5" t="s">
        <v>20</v>
      </c>
      <c r="D416" s="5" t="s">
        <v>21</v>
      </c>
      <c r="E416" s="5" t="s">
        <v>55</v>
      </c>
      <c r="F416" s="5" t="s">
        <v>13</v>
      </c>
      <c r="G416" s="6">
        <v>10</v>
      </c>
      <c r="H416" s="7">
        <v>51000</v>
      </c>
      <c r="I416" s="7">
        <v>57000</v>
      </c>
    </row>
    <row r="417" spans="1:9" x14ac:dyDescent="0.35">
      <c r="A417" s="8">
        <v>46416</v>
      </c>
      <c r="B417" s="9" t="s">
        <v>24</v>
      </c>
      <c r="C417" s="9" t="s">
        <v>25</v>
      </c>
      <c r="D417" s="9" t="s">
        <v>31</v>
      </c>
      <c r="E417" s="9" t="s">
        <v>27</v>
      </c>
      <c r="F417" s="9" t="s">
        <v>37</v>
      </c>
      <c r="G417" s="10">
        <v>1</v>
      </c>
      <c r="H417" s="11">
        <v>59000</v>
      </c>
      <c r="I417" s="11">
        <v>65000</v>
      </c>
    </row>
    <row r="418" spans="1:9" x14ac:dyDescent="0.35">
      <c r="A418" s="4">
        <v>46417</v>
      </c>
      <c r="B418" s="5" t="s">
        <v>61</v>
      </c>
      <c r="C418" s="5" t="s">
        <v>41</v>
      </c>
      <c r="D418" s="5" t="s">
        <v>16</v>
      </c>
      <c r="E418" s="5" t="s">
        <v>32</v>
      </c>
      <c r="F418" s="5" t="s">
        <v>39</v>
      </c>
      <c r="G418" s="6">
        <v>1</v>
      </c>
      <c r="H418" s="7">
        <v>113000</v>
      </c>
      <c r="I418" s="7">
        <v>114800</v>
      </c>
    </row>
    <row r="419" spans="1:9" x14ac:dyDescent="0.35">
      <c r="A419" s="8">
        <v>46418</v>
      </c>
      <c r="B419" s="9" t="s">
        <v>34</v>
      </c>
      <c r="C419" s="9" t="s">
        <v>35</v>
      </c>
      <c r="D419" s="9" t="s">
        <v>21</v>
      </c>
      <c r="E419" s="9" t="s">
        <v>36</v>
      </c>
      <c r="F419" s="9" t="s">
        <v>39</v>
      </c>
      <c r="G419" s="10">
        <v>14</v>
      </c>
      <c r="H419" s="11">
        <v>99000</v>
      </c>
      <c r="I419" s="11">
        <v>100800</v>
      </c>
    </row>
    <row r="420" spans="1:9" x14ac:dyDescent="0.35">
      <c r="A420" s="4">
        <v>46419</v>
      </c>
      <c r="B420" s="5" t="s">
        <v>24</v>
      </c>
      <c r="C420" s="5" t="s">
        <v>25</v>
      </c>
      <c r="D420" s="5" t="s">
        <v>21</v>
      </c>
      <c r="E420" s="5" t="s">
        <v>12</v>
      </c>
      <c r="F420" s="5" t="s">
        <v>43</v>
      </c>
      <c r="G420" s="6">
        <v>13</v>
      </c>
      <c r="H420" s="7">
        <v>59000</v>
      </c>
      <c r="I420" s="7">
        <v>65000</v>
      </c>
    </row>
    <row r="421" spans="1:9" x14ac:dyDescent="0.35">
      <c r="A421" s="8">
        <v>46420</v>
      </c>
      <c r="B421" s="9" t="s">
        <v>66</v>
      </c>
      <c r="C421" s="9" t="s">
        <v>41</v>
      </c>
      <c r="D421" s="9" t="s">
        <v>11</v>
      </c>
      <c r="E421" s="9" t="s">
        <v>62</v>
      </c>
      <c r="F421" s="9" t="s">
        <v>43</v>
      </c>
      <c r="G421" s="10">
        <v>15</v>
      </c>
      <c r="H421" s="11">
        <v>101000</v>
      </c>
      <c r="I421" s="11">
        <v>102800</v>
      </c>
    </row>
    <row r="422" spans="1:9" x14ac:dyDescent="0.35">
      <c r="A422" s="4">
        <v>46421</v>
      </c>
      <c r="B422" s="5" t="s">
        <v>73</v>
      </c>
      <c r="C422" s="5" t="s">
        <v>74</v>
      </c>
      <c r="D422" s="5" t="s">
        <v>21</v>
      </c>
      <c r="E422" s="5" t="s">
        <v>55</v>
      </c>
      <c r="F422" s="5" t="s">
        <v>52</v>
      </c>
      <c r="G422" s="6">
        <v>14</v>
      </c>
      <c r="H422" s="7">
        <v>60000</v>
      </c>
      <c r="I422" s="7">
        <v>66000</v>
      </c>
    </row>
    <row r="423" spans="1:9" x14ac:dyDescent="0.35">
      <c r="A423" s="8">
        <v>46422</v>
      </c>
      <c r="B423" s="9" t="s">
        <v>76</v>
      </c>
      <c r="C423" s="9" t="s">
        <v>10</v>
      </c>
      <c r="D423" s="9" t="s">
        <v>26</v>
      </c>
      <c r="E423" s="9" t="s">
        <v>12</v>
      </c>
      <c r="F423" s="9" t="s">
        <v>39</v>
      </c>
      <c r="G423" s="10">
        <v>10</v>
      </c>
      <c r="H423" s="11">
        <v>115000</v>
      </c>
      <c r="I423" s="11">
        <v>116800</v>
      </c>
    </row>
    <row r="424" spans="1:9" x14ac:dyDescent="0.35">
      <c r="A424" s="4">
        <v>46423</v>
      </c>
      <c r="B424" s="5" t="s">
        <v>40</v>
      </c>
      <c r="C424" s="5" t="s">
        <v>41</v>
      </c>
      <c r="D424" s="5" t="s">
        <v>26</v>
      </c>
      <c r="E424" s="5" t="s">
        <v>42</v>
      </c>
      <c r="F424" s="5" t="s">
        <v>52</v>
      </c>
      <c r="G424" s="6">
        <v>7</v>
      </c>
      <c r="H424" s="7">
        <v>101000</v>
      </c>
      <c r="I424" s="7">
        <v>102800</v>
      </c>
    </row>
    <row r="425" spans="1:9" x14ac:dyDescent="0.35">
      <c r="A425" s="8">
        <v>46424</v>
      </c>
      <c r="B425" s="9" t="s">
        <v>53</v>
      </c>
      <c r="C425" s="9" t="s">
        <v>54</v>
      </c>
      <c r="D425" s="9" t="s">
        <v>16</v>
      </c>
      <c r="E425" s="9" t="s">
        <v>36</v>
      </c>
      <c r="F425" s="9" t="s">
        <v>18</v>
      </c>
      <c r="G425" s="10">
        <v>13</v>
      </c>
      <c r="H425" s="11">
        <v>53000</v>
      </c>
      <c r="I425" s="11">
        <v>59000</v>
      </c>
    </row>
    <row r="426" spans="1:9" x14ac:dyDescent="0.35">
      <c r="A426" s="4">
        <v>46425</v>
      </c>
      <c r="B426" s="5" t="s">
        <v>46</v>
      </c>
      <c r="C426" s="5" t="s">
        <v>25</v>
      </c>
      <c r="D426" s="5" t="s">
        <v>31</v>
      </c>
      <c r="E426" s="5" t="s">
        <v>71</v>
      </c>
      <c r="F426" s="5" t="s">
        <v>33</v>
      </c>
      <c r="G426" s="6">
        <v>11</v>
      </c>
      <c r="H426" s="7">
        <v>53000</v>
      </c>
      <c r="I426" s="7">
        <v>59000</v>
      </c>
    </row>
    <row r="427" spans="1:9" x14ac:dyDescent="0.35">
      <c r="A427" s="8">
        <v>46426</v>
      </c>
      <c r="B427" s="9" t="s">
        <v>40</v>
      </c>
      <c r="C427" s="9" t="s">
        <v>41</v>
      </c>
      <c r="D427" s="9" t="s">
        <v>31</v>
      </c>
      <c r="E427" s="9" t="s">
        <v>62</v>
      </c>
      <c r="F427" s="9" t="s">
        <v>18</v>
      </c>
      <c r="G427" s="10">
        <v>4</v>
      </c>
      <c r="H427" s="11">
        <v>122000</v>
      </c>
      <c r="I427" s="11">
        <v>123800</v>
      </c>
    </row>
    <row r="428" spans="1:9" x14ac:dyDescent="0.35">
      <c r="A428" s="4">
        <v>46427</v>
      </c>
      <c r="B428" s="5" t="s">
        <v>44</v>
      </c>
      <c r="C428" s="5" t="s">
        <v>35</v>
      </c>
      <c r="D428" s="5" t="s">
        <v>26</v>
      </c>
      <c r="E428" s="5" t="s">
        <v>75</v>
      </c>
      <c r="F428" s="5" t="s">
        <v>48</v>
      </c>
      <c r="G428" s="6">
        <v>8</v>
      </c>
      <c r="H428" s="7">
        <v>108000</v>
      </c>
      <c r="I428" s="7">
        <v>109800</v>
      </c>
    </row>
    <row r="429" spans="1:9" x14ac:dyDescent="0.35">
      <c r="A429" s="8">
        <v>46428</v>
      </c>
      <c r="B429" s="9" t="s">
        <v>9</v>
      </c>
      <c r="C429" s="9" t="s">
        <v>10</v>
      </c>
      <c r="D429" s="9" t="s">
        <v>31</v>
      </c>
      <c r="E429" s="9" t="s">
        <v>71</v>
      </c>
      <c r="F429" s="9" t="s">
        <v>13</v>
      </c>
      <c r="G429" s="10">
        <v>8</v>
      </c>
      <c r="H429" s="11">
        <v>125000</v>
      </c>
      <c r="I429" s="11">
        <v>126800</v>
      </c>
    </row>
    <row r="430" spans="1:9" x14ac:dyDescent="0.35">
      <c r="A430" s="4">
        <v>46429</v>
      </c>
      <c r="B430" s="5" t="s">
        <v>49</v>
      </c>
      <c r="C430" s="5" t="s">
        <v>50</v>
      </c>
      <c r="D430" s="5" t="s">
        <v>21</v>
      </c>
      <c r="E430" s="5" t="s">
        <v>42</v>
      </c>
      <c r="F430" s="5" t="s">
        <v>23</v>
      </c>
      <c r="G430" s="6">
        <v>7</v>
      </c>
      <c r="H430" s="7">
        <v>45000</v>
      </c>
      <c r="I430" s="7">
        <v>50000</v>
      </c>
    </row>
    <row r="431" spans="1:9" x14ac:dyDescent="0.35">
      <c r="A431" s="8">
        <v>46430</v>
      </c>
      <c r="B431" s="9" t="s">
        <v>19</v>
      </c>
      <c r="C431" s="9" t="s">
        <v>20</v>
      </c>
      <c r="D431" s="9" t="s">
        <v>31</v>
      </c>
      <c r="E431" s="9" t="s">
        <v>36</v>
      </c>
      <c r="F431" s="9" t="s">
        <v>28</v>
      </c>
      <c r="G431" s="10">
        <v>4</v>
      </c>
      <c r="H431" s="11">
        <v>48000</v>
      </c>
      <c r="I431" s="11">
        <v>53000</v>
      </c>
    </row>
    <row r="432" spans="1:9" x14ac:dyDescent="0.35">
      <c r="A432" s="4">
        <v>46431</v>
      </c>
      <c r="B432" s="5" t="s">
        <v>69</v>
      </c>
      <c r="C432" s="5" t="s">
        <v>70</v>
      </c>
      <c r="D432" s="5" t="s">
        <v>26</v>
      </c>
      <c r="E432" s="5" t="s">
        <v>12</v>
      </c>
      <c r="F432" s="5" t="s">
        <v>33</v>
      </c>
      <c r="G432" s="6">
        <v>6</v>
      </c>
      <c r="H432" s="7">
        <v>46000</v>
      </c>
      <c r="I432" s="7">
        <v>51000</v>
      </c>
    </row>
    <row r="433" spans="1:9" x14ac:dyDescent="0.35">
      <c r="A433" s="8">
        <v>46432</v>
      </c>
      <c r="B433" s="9" t="s">
        <v>77</v>
      </c>
      <c r="C433" s="9" t="s">
        <v>41</v>
      </c>
      <c r="D433" s="9" t="s">
        <v>26</v>
      </c>
      <c r="E433" s="9" t="s">
        <v>42</v>
      </c>
      <c r="F433" s="9" t="s">
        <v>39</v>
      </c>
      <c r="G433" s="10">
        <v>5</v>
      </c>
      <c r="H433" s="11">
        <v>95000</v>
      </c>
      <c r="I433" s="11">
        <v>96800</v>
      </c>
    </row>
    <row r="434" spans="1:9" x14ac:dyDescent="0.35">
      <c r="A434" s="4">
        <v>46433</v>
      </c>
      <c r="B434" s="5" t="s">
        <v>34</v>
      </c>
      <c r="C434" s="5" t="s">
        <v>35</v>
      </c>
      <c r="D434" s="5" t="s">
        <v>26</v>
      </c>
      <c r="E434" s="5" t="s">
        <v>55</v>
      </c>
      <c r="F434" s="5" t="s">
        <v>63</v>
      </c>
      <c r="G434" s="6">
        <v>3</v>
      </c>
      <c r="H434" s="7">
        <v>120000</v>
      </c>
      <c r="I434" s="7">
        <v>121800</v>
      </c>
    </row>
    <row r="435" spans="1:9" x14ac:dyDescent="0.35">
      <c r="A435" s="8">
        <v>46434</v>
      </c>
      <c r="B435" s="9" t="s">
        <v>46</v>
      </c>
      <c r="C435" s="9" t="s">
        <v>25</v>
      </c>
      <c r="D435" s="9" t="s">
        <v>26</v>
      </c>
      <c r="E435" s="9" t="s">
        <v>47</v>
      </c>
      <c r="F435" s="9" t="s">
        <v>60</v>
      </c>
      <c r="G435" s="10">
        <v>3</v>
      </c>
      <c r="H435" s="11">
        <v>59000</v>
      </c>
      <c r="I435" s="11">
        <v>65000</v>
      </c>
    </row>
    <row r="436" spans="1:9" x14ac:dyDescent="0.35">
      <c r="A436" s="4">
        <v>46435</v>
      </c>
      <c r="B436" s="5" t="s">
        <v>29</v>
      </c>
      <c r="C436" s="5" t="s">
        <v>30</v>
      </c>
      <c r="D436" s="5" t="s">
        <v>21</v>
      </c>
      <c r="E436" s="5" t="s">
        <v>62</v>
      </c>
      <c r="F436" s="5" t="s">
        <v>33</v>
      </c>
      <c r="G436" s="6">
        <v>1</v>
      </c>
      <c r="H436" s="7">
        <v>62000</v>
      </c>
      <c r="I436" s="7">
        <v>68500</v>
      </c>
    </row>
    <row r="437" spans="1:9" x14ac:dyDescent="0.35">
      <c r="A437" s="8">
        <v>46436</v>
      </c>
      <c r="B437" s="9" t="s">
        <v>19</v>
      </c>
      <c r="C437" s="9" t="s">
        <v>20</v>
      </c>
      <c r="D437" s="9" t="s">
        <v>21</v>
      </c>
      <c r="E437" s="9" t="s">
        <v>36</v>
      </c>
      <c r="F437" s="9" t="s">
        <v>56</v>
      </c>
      <c r="G437" s="10">
        <v>4</v>
      </c>
      <c r="H437" s="11">
        <v>48000</v>
      </c>
      <c r="I437" s="11">
        <v>53000</v>
      </c>
    </row>
    <row r="438" spans="1:9" x14ac:dyDescent="0.35">
      <c r="A438" s="4">
        <v>46437</v>
      </c>
      <c r="B438" s="5" t="s">
        <v>69</v>
      </c>
      <c r="C438" s="5" t="s">
        <v>70</v>
      </c>
      <c r="D438" s="5" t="s">
        <v>16</v>
      </c>
      <c r="E438" s="5" t="s">
        <v>27</v>
      </c>
      <c r="F438" s="5" t="s">
        <v>63</v>
      </c>
      <c r="G438" s="6">
        <v>10</v>
      </c>
      <c r="H438" s="7">
        <v>45000</v>
      </c>
      <c r="I438" s="7">
        <v>50000</v>
      </c>
    </row>
    <row r="439" spans="1:9" x14ac:dyDescent="0.35">
      <c r="A439" s="8">
        <v>46438</v>
      </c>
      <c r="B439" s="9" t="s">
        <v>14</v>
      </c>
      <c r="C439" s="9" t="s">
        <v>15</v>
      </c>
      <c r="D439" s="9" t="s">
        <v>11</v>
      </c>
      <c r="E439" s="9" t="s">
        <v>17</v>
      </c>
      <c r="F439" s="9" t="s">
        <v>39</v>
      </c>
      <c r="G439" s="10">
        <v>8</v>
      </c>
      <c r="H439" s="11">
        <v>59000</v>
      </c>
      <c r="I439" s="11">
        <v>65000</v>
      </c>
    </row>
    <row r="440" spans="1:9" x14ac:dyDescent="0.35">
      <c r="A440" s="4">
        <v>46439</v>
      </c>
      <c r="B440" s="5" t="s">
        <v>44</v>
      </c>
      <c r="C440" s="5" t="s">
        <v>35</v>
      </c>
      <c r="D440" s="5" t="s">
        <v>16</v>
      </c>
      <c r="E440" s="5" t="s">
        <v>36</v>
      </c>
      <c r="F440" s="5" t="s">
        <v>63</v>
      </c>
      <c r="G440" s="6">
        <v>6</v>
      </c>
      <c r="H440" s="7">
        <v>127000</v>
      </c>
      <c r="I440" s="7">
        <v>128800</v>
      </c>
    </row>
    <row r="441" spans="1:9" x14ac:dyDescent="0.35">
      <c r="A441" s="8">
        <v>46440</v>
      </c>
      <c r="B441" s="9" t="s">
        <v>9</v>
      </c>
      <c r="C441" s="9" t="s">
        <v>10</v>
      </c>
      <c r="D441" s="9" t="s">
        <v>11</v>
      </c>
      <c r="E441" s="9" t="s">
        <v>47</v>
      </c>
      <c r="F441" s="9" t="s">
        <v>48</v>
      </c>
      <c r="G441" s="10">
        <v>1</v>
      </c>
      <c r="H441" s="11">
        <v>112000</v>
      </c>
      <c r="I441" s="11">
        <v>113800</v>
      </c>
    </row>
    <row r="442" spans="1:9" x14ac:dyDescent="0.35">
      <c r="A442" s="4">
        <v>46441</v>
      </c>
      <c r="B442" s="5" t="s">
        <v>40</v>
      </c>
      <c r="C442" s="5" t="s">
        <v>41</v>
      </c>
      <c r="D442" s="5" t="s">
        <v>11</v>
      </c>
      <c r="E442" s="5" t="s">
        <v>17</v>
      </c>
      <c r="F442" s="5" t="s">
        <v>18</v>
      </c>
      <c r="G442" s="6">
        <v>5</v>
      </c>
      <c r="H442" s="7">
        <v>139000</v>
      </c>
      <c r="I442" s="7">
        <v>140800</v>
      </c>
    </row>
    <row r="443" spans="1:9" x14ac:dyDescent="0.35">
      <c r="A443" s="8">
        <v>46442</v>
      </c>
      <c r="B443" s="9" t="s">
        <v>53</v>
      </c>
      <c r="C443" s="9" t="s">
        <v>54</v>
      </c>
      <c r="D443" s="9" t="s">
        <v>11</v>
      </c>
      <c r="E443" s="9" t="s">
        <v>68</v>
      </c>
      <c r="F443" s="9" t="s">
        <v>23</v>
      </c>
      <c r="G443" s="10">
        <v>14</v>
      </c>
      <c r="H443" s="11">
        <v>70000</v>
      </c>
      <c r="I443" s="11">
        <v>76500</v>
      </c>
    </row>
    <row r="444" spans="1:9" x14ac:dyDescent="0.35">
      <c r="A444" s="4">
        <v>46443</v>
      </c>
      <c r="B444" s="5" t="s">
        <v>38</v>
      </c>
      <c r="C444" s="5" t="s">
        <v>10</v>
      </c>
      <c r="D444" s="5" t="s">
        <v>11</v>
      </c>
      <c r="E444" s="5" t="s">
        <v>71</v>
      </c>
      <c r="F444" s="5" t="s">
        <v>39</v>
      </c>
      <c r="G444" s="6">
        <v>8</v>
      </c>
      <c r="H444" s="7">
        <v>116000</v>
      </c>
      <c r="I444" s="7">
        <v>117800</v>
      </c>
    </row>
    <row r="445" spans="1:9" x14ac:dyDescent="0.35">
      <c r="A445" s="8">
        <v>46444</v>
      </c>
      <c r="B445" s="9" t="s">
        <v>66</v>
      </c>
      <c r="C445" s="9" t="s">
        <v>41</v>
      </c>
      <c r="D445" s="9" t="s">
        <v>31</v>
      </c>
      <c r="E445" s="9" t="s">
        <v>32</v>
      </c>
      <c r="F445" s="9" t="s">
        <v>48</v>
      </c>
      <c r="G445" s="10">
        <v>10</v>
      </c>
      <c r="H445" s="11">
        <v>112000</v>
      </c>
      <c r="I445" s="11">
        <v>113800</v>
      </c>
    </row>
    <row r="446" spans="1:9" x14ac:dyDescent="0.35">
      <c r="A446" s="4">
        <v>46445</v>
      </c>
      <c r="B446" s="5" t="s">
        <v>64</v>
      </c>
      <c r="C446" s="5" t="s">
        <v>35</v>
      </c>
      <c r="D446" s="5" t="s">
        <v>16</v>
      </c>
      <c r="E446" s="5" t="s">
        <v>75</v>
      </c>
      <c r="F446" s="5" t="s">
        <v>37</v>
      </c>
      <c r="G446" s="6">
        <v>13</v>
      </c>
      <c r="H446" s="7">
        <v>95000</v>
      </c>
      <c r="I446" s="7">
        <v>96800</v>
      </c>
    </row>
    <row r="447" spans="1:9" x14ac:dyDescent="0.35">
      <c r="A447" s="8">
        <v>46446</v>
      </c>
      <c r="B447" s="9" t="s">
        <v>65</v>
      </c>
      <c r="C447" s="9" t="s">
        <v>10</v>
      </c>
      <c r="D447" s="9" t="s">
        <v>21</v>
      </c>
      <c r="E447" s="9" t="s">
        <v>12</v>
      </c>
      <c r="F447" s="9" t="s">
        <v>63</v>
      </c>
      <c r="G447" s="10">
        <v>11</v>
      </c>
      <c r="H447" s="11">
        <v>120000</v>
      </c>
      <c r="I447" s="11">
        <v>121800</v>
      </c>
    </row>
    <row r="448" spans="1:9" x14ac:dyDescent="0.35">
      <c r="A448" s="4">
        <v>46447</v>
      </c>
      <c r="B448" s="5" t="s">
        <v>77</v>
      </c>
      <c r="C448" s="5" t="s">
        <v>41</v>
      </c>
      <c r="D448" s="5" t="s">
        <v>16</v>
      </c>
      <c r="E448" s="5" t="s">
        <v>51</v>
      </c>
      <c r="F448" s="5" t="s">
        <v>48</v>
      </c>
      <c r="G448" s="6">
        <v>8</v>
      </c>
      <c r="H448" s="7">
        <v>88000</v>
      </c>
      <c r="I448" s="7">
        <v>89800</v>
      </c>
    </row>
    <row r="449" spans="1:9" x14ac:dyDescent="0.35">
      <c r="A449" s="8">
        <v>46448</v>
      </c>
      <c r="B449" s="9" t="s">
        <v>44</v>
      </c>
      <c r="C449" s="9" t="s">
        <v>35</v>
      </c>
      <c r="D449" s="9" t="s">
        <v>16</v>
      </c>
      <c r="E449" s="9" t="s">
        <v>55</v>
      </c>
      <c r="F449" s="9" t="s">
        <v>18</v>
      </c>
      <c r="G449" s="10">
        <v>2</v>
      </c>
      <c r="H449" s="11">
        <v>126000</v>
      </c>
      <c r="I449" s="11">
        <v>127800</v>
      </c>
    </row>
    <row r="450" spans="1:9" x14ac:dyDescent="0.35">
      <c r="A450" s="4">
        <v>46449</v>
      </c>
      <c r="B450" s="5" t="s">
        <v>57</v>
      </c>
      <c r="C450" s="5" t="s">
        <v>58</v>
      </c>
      <c r="D450" s="5" t="s">
        <v>31</v>
      </c>
      <c r="E450" s="5" t="s">
        <v>12</v>
      </c>
      <c r="F450" s="5" t="s">
        <v>60</v>
      </c>
      <c r="G450" s="6">
        <v>14</v>
      </c>
      <c r="H450" s="7">
        <v>73000</v>
      </c>
      <c r="I450" s="7">
        <v>76000</v>
      </c>
    </row>
    <row r="451" spans="1:9" x14ac:dyDescent="0.35">
      <c r="A451" s="8">
        <v>46450</v>
      </c>
      <c r="B451" s="9" t="s">
        <v>66</v>
      </c>
      <c r="C451" s="9" t="s">
        <v>41</v>
      </c>
      <c r="D451" s="9" t="s">
        <v>16</v>
      </c>
      <c r="E451" s="9" t="s">
        <v>62</v>
      </c>
      <c r="F451" s="9" t="s">
        <v>28</v>
      </c>
      <c r="G451" s="10">
        <v>14</v>
      </c>
      <c r="H451" s="11">
        <v>102000</v>
      </c>
      <c r="I451" s="11">
        <v>103800</v>
      </c>
    </row>
    <row r="452" spans="1:9" x14ac:dyDescent="0.35">
      <c r="A452" s="4">
        <v>46451</v>
      </c>
      <c r="B452" s="5" t="s">
        <v>73</v>
      </c>
      <c r="C452" s="5" t="s">
        <v>74</v>
      </c>
      <c r="D452" s="5" t="s">
        <v>26</v>
      </c>
      <c r="E452" s="5" t="s">
        <v>75</v>
      </c>
      <c r="F452" s="5" t="s">
        <v>43</v>
      </c>
      <c r="G452" s="6">
        <v>13</v>
      </c>
      <c r="H452" s="7">
        <v>62000</v>
      </c>
      <c r="I452" s="7">
        <v>68500</v>
      </c>
    </row>
    <row r="453" spans="1:9" x14ac:dyDescent="0.35">
      <c r="A453" s="8">
        <v>46452</v>
      </c>
      <c r="B453" s="9" t="s">
        <v>46</v>
      </c>
      <c r="C453" s="9" t="s">
        <v>25</v>
      </c>
      <c r="D453" s="9" t="s">
        <v>16</v>
      </c>
      <c r="E453" s="9" t="s">
        <v>12</v>
      </c>
      <c r="F453" s="9" t="s">
        <v>56</v>
      </c>
      <c r="G453" s="10">
        <v>9</v>
      </c>
      <c r="H453" s="11">
        <v>55000</v>
      </c>
      <c r="I453" s="11">
        <v>61000</v>
      </c>
    </row>
    <row r="454" spans="1:9" x14ac:dyDescent="0.35">
      <c r="A454" s="4">
        <v>46453</v>
      </c>
      <c r="B454" s="5" t="s">
        <v>66</v>
      </c>
      <c r="C454" s="5" t="s">
        <v>41</v>
      </c>
      <c r="D454" s="5" t="s">
        <v>31</v>
      </c>
      <c r="E454" s="5" t="s">
        <v>32</v>
      </c>
      <c r="F454" s="5" t="s">
        <v>43</v>
      </c>
      <c r="G454" s="6">
        <v>11</v>
      </c>
      <c r="H454" s="7">
        <v>106000</v>
      </c>
      <c r="I454" s="7">
        <v>107800</v>
      </c>
    </row>
    <row r="455" spans="1:9" x14ac:dyDescent="0.35">
      <c r="A455" s="8">
        <v>46454</v>
      </c>
      <c r="B455" s="9" t="s">
        <v>44</v>
      </c>
      <c r="C455" s="9" t="s">
        <v>35</v>
      </c>
      <c r="D455" s="9" t="s">
        <v>31</v>
      </c>
      <c r="E455" s="9" t="s">
        <v>75</v>
      </c>
      <c r="F455" s="9" t="s">
        <v>18</v>
      </c>
      <c r="G455" s="10">
        <v>9</v>
      </c>
      <c r="H455" s="11">
        <v>139000</v>
      </c>
      <c r="I455" s="11">
        <v>140800</v>
      </c>
    </row>
    <row r="456" spans="1:9" x14ac:dyDescent="0.35">
      <c r="A456" s="4">
        <v>46455</v>
      </c>
      <c r="B456" s="5" t="s">
        <v>57</v>
      </c>
      <c r="C456" s="5" t="s">
        <v>58</v>
      </c>
      <c r="D456" s="5" t="s">
        <v>21</v>
      </c>
      <c r="E456" s="5" t="s">
        <v>59</v>
      </c>
      <c r="F456" s="5" t="s">
        <v>28</v>
      </c>
      <c r="G456" s="6">
        <v>3</v>
      </c>
      <c r="H456" s="7">
        <v>56000</v>
      </c>
      <c r="I456" s="7">
        <v>62000</v>
      </c>
    </row>
    <row r="457" spans="1:9" x14ac:dyDescent="0.35">
      <c r="A457" s="8">
        <v>46455</v>
      </c>
      <c r="B457" s="9" t="s">
        <v>57</v>
      </c>
      <c r="C457" s="9" t="s">
        <v>58</v>
      </c>
      <c r="D457" s="9" t="s">
        <v>21</v>
      </c>
      <c r="E457" s="9" t="s">
        <v>59</v>
      </c>
      <c r="F457" s="9" t="s">
        <v>28</v>
      </c>
      <c r="G457" s="10">
        <v>3</v>
      </c>
      <c r="H457" s="11">
        <v>56000</v>
      </c>
      <c r="I457" s="11">
        <v>62000</v>
      </c>
    </row>
    <row r="458" spans="1:9" x14ac:dyDescent="0.35">
      <c r="A458" s="4">
        <v>46456</v>
      </c>
      <c r="B458" s="5" t="s">
        <v>40</v>
      </c>
      <c r="C458" s="5" t="s">
        <v>41</v>
      </c>
      <c r="D458" s="5" t="s">
        <v>31</v>
      </c>
      <c r="E458" s="5" t="s">
        <v>62</v>
      </c>
      <c r="F458" s="5" t="s">
        <v>60</v>
      </c>
      <c r="G458" s="6">
        <v>12</v>
      </c>
      <c r="H458" s="7">
        <v>113000</v>
      </c>
      <c r="I458" s="7">
        <v>114800</v>
      </c>
    </row>
    <row r="459" spans="1:9" x14ac:dyDescent="0.35">
      <c r="A459" s="8">
        <v>46457</v>
      </c>
      <c r="B459" s="9" t="s">
        <v>67</v>
      </c>
      <c r="C459" s="9" t="s">
        <v>54</v>
      </c>
      <c r="D459" s="9" t="s">
        <v>31</v>
      </c>
      <c r="E459" s="9" t="s">
        <v>55</v>
      </c>
      <c r="F459" s="9" t="s">
        <v>39</v>
      </c>
      <c r="G459" s="10">
        <v>5</v>
      </c>
      <c r="H459" s="11">
        <v>68000</v>
      </c>
      <c r="I459" s="11">
        <v>74500</v>
      </c>
    </row>
    <row r="460" spans="1:9" x14ac:dyDescent="0.35">
      <c r="A460" s="4">
        <v>46458</v>
      </c>
      <c r="B460" s="5" t="s">
        <v>46</v>
      </c>
      <c r="C460" s="5" t="s">
        <v>25</v>
      </c>
      <c r="D460" s="5" t="s">
        <v>21</v>
      </c>
      <c r="E460" s="5" t="s">
        <v>27</v>
      </c>
      <c r="F460" s="5" t="s">
        <v>23</v>
      </c>
      <c r="G460" s="6">
        <v>3</v>
      </c>
      <c r="H460" s="7">
        <v>56000</v>
      </c>
      <c r="I460" s="7">
        <v>62000</v>
      </c>
    </row>
    <row r="461" spans="1:9" x14ac:dyDescent="0.35">
      <c r="A461" s="8">
        <v>46459</v>
      </c>
      <c r="B461" s="9" t="s">
        <v>14</v>
      </c>
      <c r="C461" s="9" t="s">
        <v>15</v>
      </c>
      <c r="D461" s="9" t="s">
        <v>26</v>
      </c>
      <c r="E461" s="9" t="s">
        <v>32</v>
      </c>
      <c r="F461" s="9" t="s">
        <v>37</v>
      </c>
      <c r="G461" s="10">
        <v>1</v>
      </c>
      <c r="H461" s="11">
        <v>64000</v>
      </c>
      <c r="I461" s="11">
        <v>70500</v>
      </c>
    </row>
    <row r="462" spans="1:9" x14ac:dyDescent="0.35">
      <c r="A462" s="4">
        <v>46460</v>
      </c>
      <c r="B462" s="5" t="s">
        <v>34</v>
      </c>
      <c r="C462" s="5" t="s">
        <v>35</v>
      </c>
      <c r="D462" s="5" t="s">
        <v>16</v>
      </c>
      <c r="E462" s="5" t="s">
        <v>75</v>
      </c>
      <c r="F462" s="5" t="s">
        <v>28</v>
      </c>
      <c r="G462" s="6">
        <v>13</v>
      </c>
      <c r="H462" s="7">
        <v>107000</v>
      </c>
      <c r="I462" s="7">
        <v>108800</v>
      </c>
    </row>
    <row r="463" spans="1:9" x14ac:dyDescent="0.35">
      <c r="A463" s="8">
        <v>46461</v>
      </c>
      <c r="B463" s="9" t="s">
        <v>57</v>
      </c>
      <c r="C463" s="9" t="s">
        <v>58</v>
      </c>
      <c r="D463" s="9" t="s">
        <v>16</v>
      </c>
      <c r="E463" s="9" t="s">
        <v>27</v>
      </c>
      <c r="F463" s="9" t="s">
        <v>43</v>
      </c>
      <c r="G463" s="10">
        <v>1</v>
      </c>
      <c r="H463" s="11">
        <v>77000</v>
      </c>
      <c r="I463" s="11">
        <v>80000</v>
      </c>
    </row>
    <row r="464" spans="1:9" x14ac:dyDescent="0.35">
      <c r="A464" s="4">
        <v>46462</v>
      </c>
      <c r="B464" s="5" t="s">
        <v>72</v>
      </c>
      <c r="C464" s="5" t="s">
        <v>15</v>
      </c>
      <c r="D464" s="5" t="s">
        <v>26</v>
      </c>
      <c r="E464" s="5" t="s">
        <v>42</v>
      </c>
      <c r="F464" s="5" t="s">
        <v>52</v>
      </c>
      <c r="G464" s="6">
        <v>7</v>
      </c>
      <c r="H464" s="7">
        <v>67000</v>
      </c>
      <c r="I464" s="7">
        <v>73500</v>
      </c>
    </row>
    <row r="465" spans="1:9" x14ac:dyDescent="0.35">
      <c r="A465" s="8">
        <v>46463</v>
      </c>
      <c r="B465" s="9" t="s">
        <v>19</v>
      </c>
      <c r="C465" s="9" t="s">
        <v>20</v>
      </c>
      <c r="D465" s="9" t="s">
        <v>31</v>
      </c>
      <c r="E465" s="9" t="s">
        <v>22</v>
      </c>
      <c r="F465" s="9" t="s">
        <v>48</v>
      </c>
      <c r="G465" s="10">
        <v>8</v>
      </c>
      <c r="H465" s="11">
        <v>53000</v>
      </c>
      <c r="I465" s="11">
        <v>59000</v>
      </c>
    </row>
    <row r="466" spans="1:9" x14ac:dyDescent="0.35">
      <c r="A466" s="4">
        <v>46464</v>
      </c>
      <c r="B466" s="5" t="s">
        <v>65</v>
      </c>
      <c r="C466" s="5" t="s">
        <v>10</v>
      </c>
      <c r="D466" s="5" t="s">
        <v>16</v>
      </c>
      <c r="E466" s="5" t="s">
        <v>59</v>
      </c>
      <c r="F466" s="5" t="s">
        <v>18</v>
      </c>
      <c r="G466" s="6">
        <v>12</v>
      </c>
      <c r="H466" s="7">
        <v>114000</v>
      </c>
      <c r="I466" s="7">
        <v>115800</v>
      </c>
    </row>
    <row r="467" spans="1:9" x14ac:dyDescent="0.35">
      <c r="A467" s="8">
        <v>46465</v>
      </c>
      <c r="B467" s="9" t="s">
        <v>77</v>
      </c>
      <c r="C467" s="9" t="s">
        <v>41</v>
      </c>
      <c r="D467" s="9" t="s">
        <v>16</v>
      </c>
      <c r="E467" s="9" t="s">
        <v>17</v>
      </c>
      <c r="F467" s="9" t="s">
        <v>18</v>
      </c>
      <c r="G467" s="10">
        <v>4</v>
      </c>
      <c r="H467" s="11">
        <v>112000</v>
      </c>
      <c r="I467" s="11">
        <v>113800</v>
      </c>
    </row>
    <row r="468" spans="1:9" x14ac:dyDescent="0.35">
      <c r="A468" s="4">
        <v>46466</v>
      </c>
      <c r="B468" s="5" t="s">
        <v>64</v>
      </c>
      <c r="C468" s="5" t="s">
        <v>35</v>
      </c>
      <c r="D468" s="5" t="s">
        <v>16</v>
      </c>
      <c r="E468" s="5" t="s">
        <v>22</v>
      </c>
      <c r="F468" s="5" t="s">
        <v>60</v>
      </c>
      <c r="G468" s="6">
        <v>12</v>
      </c>
      <c r="H468" s="7">
        <v>101000</v>
      </c>
      <c r="I468" s="7">
        <v>102800</v>
      </c>
    </row>
    <row r="469" spans="1:9" x14ac:dyDescent="0.35">
      <c r="A469" s="8">
        <v>46467</v>
      </c>
      <c r="B469" s="9" t="s">
        <v>69</v>
      </c>
      <c r="C469" s="9" t="s">
        <v>70</v>
      </c>
      <c r="D469" s="9" t="s">
        <v>16</v>
      </c>
      <c r="E469" s="9" t="s">
        <v>27</v>
      </c>
      <c r="F469" s="9" t="s">
        <v>28</v>
      </c>
      <c r="G469" s="10">
        <v>15</v>
      </c>
      <c r="H469" s="11">
        <v>46000</v>
      </c>
      <c r="I469" s="11">
        <v>51000</v>
      </c>
    </row>
    <row r="470" spans="1:9" x14ac:dyDescent="0.35">
      <c r="A470" s="4">
        <v>46468</v>
      </c>
      <c r="B470" s="5" t="s">
        <v>29</v>
      </c>
      <c r="C470" s="5" t="s">
        <v>30</v>
      </c>
      <c r="D470" s="5" t="s">
        <v>31</v>
      </c>
      <c r="E470" s="5" t="s">
        <v>51</v>
      </c>
      <c r="F470" s="5" t="s">
        <v>63</v>
      </c>
      <c r="G470" s="6">
        <v>7</v>
      </c>
      <c r="H470" s="7">
        <v>70000</v>
      </c>
      <c r="I470" s="7">
        <v>76500</v>
      </c>
    </row>
    <row r="471" spans="1:9" x14ac:dyDescent="0.35">
      <c r="A471" s="8">
        <v>46469</v>
      </c>
      <c r="B471" s="9" t="s">
        <v>19</v>
      </c>
      <c r="C471" s="9" t="s">
        <v>20</v>
      </c>
      <c r="D471" s="9" t="s">
        <v>11</v>
      </c>
      <c r="E471" s="9" t="s">
        <v>22</v>
      </c>
      <c r="F471" s="9" t="s">
        <v>37</v>
      </c>
      <c r="G471" s="10">
        <v>10</v>
      </c>
      <c r="H471" s="11">
        <v>49000</v>
      </c>
      <c r="I471" s="11">
        <v>54000</v>
      </c>
    </row>
    <row r="472" spans="1:9" x14ac:dyDescent="0.35">
      <c r="A472" s="4">
        <v>46470</v>
      </c>
      <c r="B472" s="5" t="s">
        <v>46</v>
      </c>
      <c r="C472" s="5" t="s">
        <v>25</v>
      </c>
      <c r="D472" s="5" t="s">
        <v>26</v>
      </c>
      <c r="E472" s="5" t="s">
        <v>12</v>
      </c>
      <c r="F472" s="5" t="s">
        <v>37</v>
      </c>
      <c r="G472" s="6">
        <v>14</v>
      </c>
      <c r="H472" s="7">
        <v>52000</v>
      </c>
      <c r="I472" s="7">
        <v>58000</v>
      </c>
    </row>
    <row r="473" spans="1:9" x14ac:dyDescent="0.35">
      <c r="A473" s="8">
        <v>46471</v>
      </c>
      <c r="B473" s="9" t="s">
        <v>40</v>
      </c>
      <c r="C473" s="9" t="s">
        <v>41</v>
      </c>
      <c r="D473" s="9" t="s">
        <v>26</v>
      </c>
      <c r="E473" s="9" t="s">
        <v>17</v>
      </c>
      <c r="F473" s="9" t="s">
        <v>23</v>
      </c>
      <c r="G473" s="10">
        <v>11</v>
      </c>
      <c r="H473" s="11">
        <v>115000</v>
      </c>
      <c r="I473" s="11">
        <v>116800</v>
      </c>
    </row>
    <row r="474" spans="1:9" x14ac:dyDescent="0.35">
      <c r="A474" s="4">
        <v>46472</v>
      </c>
      <c r="B474" s="5" t="s">
        <v>34</v>
      </c>
      <c r="C474" s="5" t="s">
        <v>35</v>
      </c>
      <c r="D474" s="5" t="s">
        <v>31</v>
      </c>
      <c r="E474" s="5" t="s">
        <v>68</v>
      </c>
      <c r="F474" s="5" t="s">
        <v>45</v>
      </c>
      <c r="G474" s="6">
        <v>15</v>
      </c>
      <c r="H474" s="7">
        <v>112000</v>
      </c>
      <c r="I474" s="7">
        <v>113800</v>
      </c>
    </row>
    <row r="475" spans="1:9" x14ac:dyDescent="0.35">
      <c r="A475" s="8">
        <v>46473</v>
      </c>
      <c r="B475" s="9" t="s">
        <v>9</v>
      </c>
      <c r="C475" s="9" t="s">
        <v>10</v>
      </c>
      <c r="D475" s="9" t="s">
        <v>21</v>
      </c>
      <c r="E475" s="9" t="s">
        <v>71</v>
      </c>
      <c r="F475" s="9" t="s">
        <v>28</v>
      </c>
      <c r="G475" s="10">
        <v>9</v>
      </c>
      <c r="H475" s="11">
        <v>135000</v>
      </c>
      <c r="I475" s="11">
        <v>136800</v>
      </c>
    </row>
    <row r="476" spans="1:9" x14ac:dyDescent="0.35">
      <c r="A476" s="4">
        <v>46474</v>
      </c>
      <c r="B476" s="5" t="s">
        <v>14</v>
      </c>
      <c r="C476" s="5" t="s">
        <v>15</v>
      </c>
      <c r="D476" s="5" t="s">
        <v>26</v>
      </c>
      <c r="E476" s="5" t="s">
        <v>42</v>
      </c>
      <c r="F476" s="5" t="s">
        <v>28</v>
      </c>
      <c r="G476" s="6">
        <v>3</v>
      </c>
      <c r="H476" s="7">
        <v>67000</v>
      </c>
      <c r="I476" s="7">
        <v>73500</v>
      </c>
    </row>
    <row r="477" spans="1:9" x14ac:dyDescent="0.35">
      <c r="A477" s="8">
        <v>46474</v>
      </c>
      <c r="B477" s="9" t="s">
        <v>14</v>
      </c>
      <c r="C477" s="9" t="s">
        <v>15</v>
      </c>
      <c r="D477" s="9" t="s">
        <v>26</v>
      </c>
      <c r="E477" s="9" t="s">
        <v>42</v>
      </c>
      <c r="F477" s="9" t="s">
        <v>28</v>
      </c>
      <c r="G477" s="10">
        <v>3</v>
      </c>
      <c r="H477" s="11">
        <v>67000</v>
      </c>
      <c r="I477" s="11">
        <v>73500</v>
      </c>
    </row>
    <row r="478" spans="1:9" x14ac:dyDescent="0.35">
      <c r="A478" s="4">
        <v>46475</v>
      </c>
      <c r="B478" s="5" t="s">
        <v>67</v>
      </c>
      <c r="C478" s="5" t="s">
        <v>54</v>
      </c>
      <c r="D478" s="5" t="s">
        <v>16</v>
      </c>
      <c r="E478" s="5" t="s">
        <v>55</v>
      </c>
      <c r="F478" s="5" t="s">
        <v>23</v>
      </c>
      <c r="G478" s="6">
        <v>3</v>
      </c>
      <c r="H478" s="7">
        <v>64000</v>
      </c>
      <c r="I478" s="7">
        <v>70500</v>
      </c>
    </row>
    <row r="479" spans="1:9" x14ac:dyDescent="0.35">
      <c r="A479" s="8">
        <v>46476</v>
      </c>
      <c r="B479" s="9" t="s">
        <v>65</v>
      </c>
      <c r="C479" s="9" t="s">
        <v>10</v>
      </c>
      <c r="D479" s="9" t="s">
        <v>16</v>
      </c>
      <c r="E479" s="9" t="s">
        <v>12</v>
      </c>
      <c r="F479" s="9" t="s">
        <v>33</v>
      </c>
      <c r="G479" s="10">
        <v>9</v>
      </c>
      <c r="H479" s="11">
        <v>139000</v>
      </c>
      <c r="I479" s="11">
        <v>140800</v>
      </c>
    </row>
    <row r="480" spans="1:9" x14ac:dyDescent="0.35">
      <c r="A480" s="4">
        <v>46477</v>
      </c>
      <c r="B480" s="5" t="s">
        <v>29</v>
      </c>
      <c r="C480" s="5" t="s">
        <v>30</v>
      </c>
      <c r="D480" s="5" t="s">
        <v>11</v>
      </c>
      <c r="E480" s="5" t="s">
        <v>51</v>
      </c>
      <c r="F480" s="5" t="s">
        <v>56</v>
      </c>
      <c r="G480" s="6">
        <v>9</v>
      </c>
      <c r="H480" s="7">
        <v>58000</v>
      </c>
      <c r="I480" s="7">
        <v>64000</v>
      </c>
    </row>
    <row r="481" spans="1:9" x14ac:dyDescent="0.35">
      <c r="A481" s="8">
        <v>46478</v>
      </c>
      <c r="B481" s="9" t="s">
        <v>34</v>
      </c>
      <c r="C481" s="9" t="s">
        <v>35</v>
      </c>
      <c r="D481" s="9" t="s">
        <v>21</v>
      </c>
      <c r="E481" s="9" t="s">
        <v>36</v>
      </c>
      <c r="F481" s="9" t="s">
        <v>28</v>
      </c>
      <c r="G481" s="10">
        <v>13</v>
      </c>
      <c r="H481" s="11">
        <v>123000</v>
      </c>
      <c r="I481" s="11">
        <v>124800</v>
      </c>
    </row>
    <row r="482" spans="1:9" x14ac:dyDescent="0.35">
      <c r="A482" s="4">
        <v>46478</v>
      </c>
      <c r="B482" s="5" t="s">
        <v>34</v>
      </c>
      <c r="C482" s="5" t="s">
        <v>35</v>
      </c>
      <c r="D482" s="5" t="s">
        <v>21</v>
      </c>
      <c r="E482" s="5" t="s">
        <v>36</v>
      </c>
      <c r="F482" s="5" t="s">
        <v>28</v>
      </c>
      <c r="G482" s="6">
        <v>13</v>
      </c>
      <c r="H482" s="7">
        <v>123000</v>
      </c>
      <c r="I482" s="7">
        <v>124800</v>
      </c>
    </row>
    <row r="483" spans="1:9" x14ac:dyDescent="0.35">
      <c r="A483" s="8">
        <v>46479</v>
      </c>
      <c r="B483" s="9" t="s">
        <v>69</v>
      </c>
      <c r="C483" s="9" t="s">
        <v>70</v>
      </c>
      <c r="D483" s="9" t="s">
        <v>11</v>
      </c>
      <c r="E483" s="9" t="s">
        <v>27</v>
      </c>
      <c r="F483" s="9" t="s">
        <v>63</v>
      </c>
      <c r="G483" s="10">
        <v>8</v>
      </c>
      <c r="H483" s="11">
        <v>50000</v>
      </c>
      <c r="I483" s="11">
        <v>55000</v>
      </c>
    </row>
    <row r="484" spans="1:9" x14ac:dyDescent="0.35">
      <c r="A484" s="4">
        <v>46480</v>
      </c>
      <c r="B484" s="5" t="s">
        <v>61</v>
      </c>
      <c r="C484" s="5" t="s">
        <v>41</v>
      </c>
      <c r="D484" s="5" t="s">
        <v>31</v>
      </c>
      <c r="E484" s="5" t="s">
        <v>42</v>
      </c>
      <c r="F484" s="5" t="s">
        <v>13</v>
      </c>
      <c r="G484" s="6">
        <v>4</v>
      </c>
      <c r="H484" s="7">
        <v>90000</v>
      </c>
      <c r="I484" s="7">
        <v>91800</v>
      </c>
    </row>
    <row r="485" spans="1:9" x14ac:dyDescent="0.35">
      <c r="A485" s="8">
        <v>46481</v>
      </c>
      <c r="B485" s="9" t="s">
        <v>78</v>
      </c>
      <c r="C485" s="9" t="s">
        <v>35</v>
      </c>
      <c r="D485" s="9" t="s">
        <v>21</v>
      </c>
      <c r="E485" s="9" t="s">
        <v>68</v>
      </c>
      <c r="F485" s="9" t="s">
        <v>60</v>
      </c>
      <c r="G485" s="10">
        <v>6</v>
      </c>
      <c r="H485" s="11">
        <v>100000</v>
      </c>
      <c r="I485" s="11">
        <v>101800</v>
      </c>
    </row>
    <row r="486" spans="1:9" x14ac:dyDescent="0.35">
      <c r="A486" s="4">
        <v>46482</v>
      </c>
      <c r="B486" s="5" t="s">
        <v>46</v>
      </c>
      <c r="C486" s="5" t="s">
        <v>25</v>
      </c>
      <c r="D486" s="5" t="s">
        <v>16</v>
      </c>
      <c r="E486" s="5" t="s">
        <v>71</v>
      </c>
      <c r="F486" s="5" t="s">
        <v>37</v>
      </c>
      <c r="G486" s="6">
        <v>3</v>
      </c>
      <c r="H486" s="7">
        <v>50000</v>
      </c>
      <c r="I486" s="7">
        <v>55000</v>
      </c>
    </row>
    <row r="487" spans="1:9" x14ac:dyDescent="0.35">
      <c r="A487" s="8">
        <v>46483</v>
      </c>
      <c r="B487" s="9" t="s">
        <v>77</v>
      </c>
      <c r="C487" s="9" t="s">
        <v>41</v>
      </c>
      <c r="D487" s="9" t="s">
        <v>11</v>
      </c>
      <c r="E487" s="9" t="s">
        <v>51</v>
      </c>
      <c r="F487" s="9" t="s">
        <v>37</v>
      </c>
      <c r="G487" s="10">
        <v>7</v>
      </c>
      <c r="H487" s="11">
        <v>83000</v>
      </c>
      <c r="I487" s="11">
        <v>84800</v>
      </c>
    </row>
    <row r="488" spans="1:9" x14ac:dyDescent="0.35">
      <c r="A488" s="4">
        <v>46484</v>
      </c>
      <c r="B488" s="5" t="s">
        <v>44</v>
      </c>
      <c r="C488" s="5" t="s">
        <v>35</v>
      </c>
      <c r="D488" s="5" t="s">
        <v>31</v>
      </c>
      <c r="E488" s="5" t="s">
        <v>22</v>
      </c>
      <c r="F488" s="5" t="s">
        <v>13</v>
      </c>
      <c r="G488" s="6">
        <v>7</v>
      </c>
      <c r="H488" s="7">
        <v>108000</v>
      </c>
      <c r="I488" s="7">
        <v>109800</v>
      </c>
    </row>
    <row r="489" spans="1:9" x14ac:dyDescent="0.35">
      <c r="A489" s="8">
        <v>46485</v>
      </c>
      <c r="B489" s="9" t="s">
        <v>46</v>
      </c>
      <c r="C489" s="9" t="s">
        <v>25</v>
      </c>
      <c r="D489" s="9" t="s">
        <v>31</v>
      </c>
      <c r="E489" s="9" t="s">
        <v>59</v>
      </c>
      <c r="F489" s="9" t="s">
        <v>13</v>
      </c>
      <c r="G489" s="10">
        <v>1</v>
      </c>
      <c r="H489" s="11">
        <v>53000</v>
      </c>
      <c r="I489" s="11">
        <v>59000</v>
      </c>
    </row>
    <row r="490" spans="1:9" x14ac:dyDescent="0.35">
      <c r="A490" s="4">
        <v>46486</v>
      </c>
      <c r="B490" s="5" t="s">
        <v>66</v>
      </c>
      <c r="C490" s="5" t="s">
        <v>41</v>
      </c>
      <c r="D490" s="5" t="s">
        <v>31</v>
      </c>
      <c r="E490" s="5" t="s">
        <v>42</v>
      </c>
      <c r="F490" s="5" t="s">
        <v>23</v>
      </c>
      <c r="G490" s="6">
        <v>12</v>
      </c>
      <c r="H490" s="7">
        <v>113000</v>
      </c>
      <c r="I490" s="7">
        <v>114800</v>
      </c>
    </row>
    <row r="491" spans="1:9" x14ac:dyDescent="0.35">
      <c r="A491" s="8">
        <v>46487</v>
      </c>
      <c r="B491" s="9" t="s">
        <v>34</v>
      </c>
      <c r="C491" s="9" t="s">
        <v>35</v>
      </c>
      <c r="D491" s="9" t="s">
        <v>26</v>
      </c>
      <c r="E491" s="9" t="s">
        <v>75</v>
      </c>
      <c r="F491" s="9" t="s">
        <v>48</v>
      </c>
      <c r="G491" s="10">
        <v>13</v>
      </c>
      <c r="H491" s="11">
        <v>103000</v>
      </c>
      <c r="I491" s="11">
        <v>104800</v>
      </c>
    </row>
    <row r="492" spans="1:9" x14ac:dyDescent="0.35">
      <c r="A492" s="4">
        <v>46488</v>
      </c>
      <c r="B492" s="5" t="s">
        <v>46</v>
      </c>
      <c r="C492" s="5" t="s">
        <v>25</v>
      </c>
      <c r="D492" s="5" t="s">
        <v>21</v>
      </c>
      <c r="E492" s="5" t="s">
        <v>59</v>
      </c>
      <c r="F492" s="5" t="s">
        <v>60</v>
      </c>
      <c r="G492" s="6">
        <v>11</v>
      </c>
      <c r="H492" s="7">
        <v>50000</v>
      </c>
      <c r="I492" s="7">
        <v>55000</v>
      </c>
    </row>
    <row r="493" spans="1:9" x14ac:dyDescent="0.35">
      <c r="A493" s="8">
        <v>46489</v>
      </c>
      <c r="B493" s="9" t="s">
        <v>29</v>
      </c>
      <c r="C493" s="9" t="s">
        <v>30</v>
      </c>
      <c r="D493" s="9" t="s">
        <v>21</v>
      </c>
      <c r="E493" s="9" t="s">
        <v>42</v>
      </c>
      <c r="F493" s="9" t="s">
        <v>37</v>
      </c>
      <c r="G493" s="10">
        <v>15</v>
      </c>
      <c r="H493" s="11">
        <v>71000</v>
      </c>
      <c r="I493" s="11">
        <v>74000</v>
      </c>
    </row>
    <row r="494" spans="1:9" x14ac:dyDescent="0.35">
      <c r="A494" s="4">
        <v>46490</v>
      </c>
      <c r="B494" s="5" t="s">
        <v>19</v>
      </c>
      <c r="C494" s="5" t="s">
        <v>20</v>
      </c>
      <c r="D494" s="5" t="s">
        <v>11</v>
      </c>
      <c r="E494" s="5" t="s">
        <v>22</v>
      </c>
      <c r="F494" s="5" t="s">
        <v>13</v>
      </c>
      <c r="G494" s="6">
        <v>10</v>
      </c>
      <c r="H494" s="7">
        <v>46000</v>
      </c>
      <c r="I494" s="7">
        <v>51000</v>
      </c>
    </row>
    <row r="495" spans="1:9" x14ac:dyDescent="0.35">
      <c r="A495" s="8">
        <v>46491</v>
      </c>
      <c r="B495" s="9" t="s">
        <v>38</v>
      </c>
      <c r="C495" s="9" t="s">
        <v>10</v>
      </c>
      <c r="D495" s="9" t="s">
        <v>21</v>
      </c>
      <c r="E495" s="9" t="s">
        <v>12</v>
      </c>
      <c r="F495" s="9" t="s">
        <v>45</v>
      </c>
      <c r="G495" s="10">
        <v>4</v>
      </c>
      <c r="H495" s="11">
        <v>106000</v>
      </c>
      <c r="I495" s="11">
        <v>107800</v>
      </c>
    </row>
    <row r="496" spans="1:9" x14ac:dyDescent="0.35">
      <c r="A496" s="4">
        <v>46492</v>
      </c>
      <c r="B496" s="5" t="s">
        <v>29</v>
      </c>
      <c r="C496" s="5" t="s">
        <v>30</v>
      </c>
      <c r="D496" s="5" t="s">
        <v>11</v>
      </c>
      <c r="E496" s="5" t="s">
        <v>62</v>
      </c>
      <c r="F496" s="5" t="s">
        <v>13</v>
      </c>
      <c r="G496" s="6">
        <v>8</v>
      </c>
      <c r="H496" s="7">
        <v>77000</v>
      </c>
      <c r="I496" s="7">
        <v>80000</v>
      </c>
    </row>
    <row r="497" spans="1:9" x14ac:dyDescent="0.35">
      <c r="A497" s="8">
        <v>46493</v>
      </c>
      <c r="B497" s="9" t="s">
        <v>19</v>
      </c>
      <c r="C497" s="9" t="s">
        <v>20</v>
      </c>
      <c r="D497" s="9" t="s">
        <v>11</v>
      </c>
      <c r="E497" s="9" t="s">
        <v>22</v>
      </c>
      <c r="F497" s="9" t="s">
        <v>33</v>
      </c>
      <c r="G497" s="10">
        <v>3</v>
      </c>
      <c r="H497" s="11">
        <v>45000</v>
      </c>
      <c r="I497" s="11">
        <v>50000</v>
      </c>
    </row>
    <row r="498" spans="1:9" x14ac:dyDescent="0.35">
      <c r="A498" s="4">
        <v>46494</v>
      </c>
      <c r="B498" s="5" t="s">
        <v>46</v>
      </c>
      <c r="C498" s="5" t="s">
        <v>25</v>
      </c>
      <c r="D498" s="5" t="s">
        <v>31</v>
      </c>
      <c r="E498" s="5" t="s">
        <v>59</v>
      </c>
      <c r="F498" s="5" t="s">
        <v>33</v>
      </c>
      <c r="G498" s="6">
        <v>3</v>
      </c>
      <c r="H498" s="7">
        <v>65000</v>
      </c>
      <c r="I498" s="7">
        <v>71500</v>
      </c>
    </row>
    <row r="499" spans="1:9" x14ac:dyDescent="0.35">
      <c r="A499" s="8">
        <v>46495</v>
      </c>
      <c r="B499" s="9" t="s">
        <v>72</v>
      </c>
      <c r="C499" s="9" t="s">
        <v>15</v>
      </c>
      <c r="D499" s="9" t="s">
        <v>21</v>
      </c>
      <c r="E499" s="9" t="s">
        <v>42</v>
      </c>
      <c r="F499" s="9" t="s">
        <v>28</v>
      </c>
      <c r="G499" s="10">
        <v>14</v>
      </c>
      <c r="H499" s="11">
        <v>74000</v>
      </c>
      <c r="I499" s="11">
        <v>77000</v>
      </c>
    </row>
    <row r="500" spans="1:9" x14ac:dyDescent="0.35">
      <c r="A500" s="4">
        <v>46496</v>
      </c>
      <c r="B500" s="5" t="s">
        <v>34</v>
      </c>
      <c r="C500" s="5" t="s">
        <v>35</v>
      </c>
      <c r="D500" s="5" t="s">
        <v>31</v>
      </c>
      <c r="E500" s="5" t="s">
        <v>22</v>
      </c>
      <c r="F500" s="5" t="s">
        <v>48</v>
      </c>
      <c r="G500" s="6">
        <v>5</v>
      </c>
      <c r="H500" s="7">
        <v>90000</v>
      </c>
      <c r="I500" s="7">
        <v>91800</v>
      </c>
    </row>
    <row r="501" spans="1:9" x14ac:dyDescent="0.35">
      <c r="A501" s="12">
        <v>46497</v>
      </c>
      <c r="B501" s="1" t="s">
        <v>65</v>
      </c>
      <c r="C501" s="1" t="s">
        <v>10</v>
      </c>
      <c r="D501" s="1" t="s">
        <v>16</v>
      </c>
      <c r="E501" s="1" t="s">
        <v>27</v>
      </c>
      <c r="F501" s="1" t="s">
        <v>28</v>
      </c>
      <c r="G501" s="13">
        <v>2</v>
      </c>
      <c r="H501" s="14">
        <v>120000</v>
      </c>
      <c r="I501" s="14">
        <v>121800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DB274-3F7B-41EE-ACDB-C629E5B815EE}">
  <dimension ref="A1:S476"/>
  <sheetViews>
    <sheetView showGridLines="0" topLeftCell="H1" zoomScale="80" zoomScaleNormal="80" workbookViewId="0">
      <selection activeCell="R10" sqref="R10"/>
    </sheetView>
  </sheetViews>
  <sheetFormatPr defaultRowHeight="14.5" x14ac:dyDescent="0.35"/>
  <cols>
    <col min="1" max="1" width="10.81640625" style="19" bestFit="1" customWidth="1"/>
    <col min="2" max="2" width="13.54296875" style="30" bestFit="1" customWidth="1"/>
    <col min="3" max="3" width="14.453125" style="30" bestFit="1" customWidth="1"/>
    <col min="4" max="4" width="11.26953125" style="30" bestFit="1" customWidth="1"/>
    <col min="5" max="5" width="12.81640625" style="30" bestFit="1" customWidth="1"/>
    <col min="6" max="6" width="13.6328125" style="30" bestFit="1" customWidth="1"/>
    <col min="7" max="7" width="14.1796875" bestFit="1" customWidth="1"/>
    <col min="8" max="8" width="14.54296875" style="17" bestFit="1" customWidth="1"/>
    <col min="9" max="9" width="15" bestFit="1" customWidth="1"/>
    <col min="10" max="10" width="14.1796875" style="17" bestFit="1" customWidth="1"/>
    <col min="11" max="11" width="10.90625" style="17" bestFit="1" customWidth="1"/>
    <col min="12" max="12" width="11.453125" style="17" bestFit="1" customWidth="1"/>
    <col min="13" max="13" width="18.08984375" style="20" bestFit="1" customWidth="1"/>
    <col min="14" max="14" width="18.1796875" bestFit="1" customWidth="1"/>
    <col min="15" max="15" width="21.81640625" bestFit="1" customWidth="1"/>
    <col min="16" max="16" width="22.36328125" bestFit="1" customWidth="1"/>
    <col min="18" max="18" width="16.26953125" bestFit="1" customWidth="1"/>
    <col min="19" max="19" width="16" bestFit="1" customWidth="1"/>
  </cols>
  <sheetData>
    <row r="1" spans="1:19" x14ac:dyDescent="0.35">
      <c r="A1" s="48" t="s">
        <v>0</v>
      </c>
      <c r="B1" s="49" t="s">
        <v>1</v>
      </c>
      <c r="C1" s="49" t="s">
        <v>2</v>
      </c>
      <c r="D1" s="49" t="s">
        <v>3</v>
      </c>
      <c r="E1" s="49" t="s">
        <v>4</v>
      </c>
      <c r="F1" s="49" t="s">
        <v>5</v>
      </c>
      <c r="G1" s="50" t="s">
        <v>6</v>
      </c>
      <c r="H1" s="50" t="s">
        <v>7</v>
      </c>
      <c r="I1" s="51" t="s">
        <v>8</v>
      </c>
      <c r="J1" s="51" t="s">
        <v>79</v>
      </c>
      <c r="K1" s="52" t="s">
        <v>89</v>
      </c>
      <c r="L1" s="52" t="s">
        <v>80</v>
      </c>
      <c r="M1" s="53" t="s">
        <v>81</v>
      </c>
      <c r="N1" s="55" t="s">
        <v>88</v>
      </c>
      <c r="O1" s="55" t="s">
        <v>90</v>
      </c>
      <c r="P1" s="55" t="s">
        <v>104</v>
      </c>
    </row>
    <row r="2" spans="1:19" ht="18.5" x14ac:dyDescent="0.45">
      <c r="A2" s="46">
        <v>46023</v>
      </c>
      <c r="B2" s="28" t="s">
        <v>44</v>
      </c>
      <c r="C2" s="28" t="s">
        <v>41</v>
      </c>
      <c r="D2" s="28" t="s">
        <v>11</v>
      </c>
      <c r="E2" s="28" t="s">
        <v>12</v>
      </c>
      <c r="F2" s="28" t="s">
        <v>13</v>
      </c>
      <c r="G2" s="6">
        <v>3</v>
      </c>
      <c r="H2" s="15">
        <v>110000</v>
      </c>
      <c r="I2" s="15">
        <v>111800</v>
      </c>
      <c r="J2" s="15">
        <f>PRODUCT('Cleaned Data'!$G2,'Cleaned Data'!$I2)</f>
        <v>335400</v>
      </c>
      <c r="K2" s="15">
        <f>PRODUCT('Cleaned Data'!$G2,'Cleaned Data'!$H2)</f>
        <v>330000</v>
      </c>
      <c r="L2" s="15">
        <f>('Cleaned Data'!$J2-'Cleaned Data'!$K2)</f>
        <v>5400</v>
      </c>
      <c r="M2" s="23">
        <f>('Cleaned Data'!$L2/'Cleaned Data'!$J2)</f>
        <v>1.6100178890876567E-2</v>
      </c>
      <c r="N2" s="5" t="str">
        <f>IF('Cleaned Data'!$G2&gt;10,"High-Volume","Low-Volume")</f>
        <v>Low-Volume</v>
      </c>
      <c r="O2" s="5" t="str">
        <f>IF('Cleaned Data'!$I2&gt;=100000,"Premium","Standard")</f>
        <v>Premium</v>
      </c>
      <c r="P2" s="56" t="str">
        <f>IF(Zen_Elite_Shoe_Sales[[#This Row],[Revenue]]&gt;=1000000,"Top Performer","Average Performer")</f>
        <v>Average Performer</v>
      </c>
      <c r="R2" s="34" t="s">
        <v>83</v>
      </c>
      <c r="S2" s="60">
        <f>SUM(Zen_Elite_Shoe_Sales[Revenue])</f>
        <v>338533500</v>
      </c>
    </row>
    <row r="3" spans="1:19" x14ac:dyDescent="0.35">
      <c r="A3" s="47">
        <v>46024</v>
      </c>
      <c r="B3" s="29" t="s">
        <v>67</v>
      </c>
      <c r="C3" s="29" t="s">
        <v>15</v>
      </c>
      <c r="D3" s="29" t="s">
        <v>16</v>
      </c>
      <c r="E3" s="29" t="s">
        <v>47</v>
      </c>
      <c r="F3" s="29" t="s">
        <v>18</v>
      </c>
      <c r="G3" s="10">
        <v>8</v>
      </c>
      <c r="H3" s="16">
        <v>67000</v>
      </c>
      <c r="I3" s="16">
        <v>73500</v>
      </c>
      <c r="J3" s="16">
        <f>PRODUCT('Cleaned Data'!$G3,'Cleaned Data'!$I3)</f>
        <v>588000</v>
      </c>
      <c r="K3" s="16">
        <f>PRODUCT('Cleaned Data'!$G3,'Cleaned Data'!$H3)</f>
        <v>536000</v>
      </c>
      <c r="L3" s="16">
        <f>('Cleaned Data'!$J3-'Cleaned Data'!$K3)</f>
        <v>52000</v>
      </c>
      <c r="M3" s="24">
        <f>('Cleaned Data'!$L3/'Cleaned Data'!$J3)</f>
        <v>8.8435374149659865E-2</v>
      </c>
      <c r="N3" s="9" t="str">
        <f>IF('Cleaned Data'!$G3&gt;10,"High-Volume","Low-Volume")</f>
        <v>Low-Volume</v>
      </c>
      <c r="O3" s="9" t="str">
        <f>IF('Cleaned Data'!$I3&gt;=100000,"Premium","Standard")</f>
        <v>Standard</v>
      </c>
      <c r="P3" s="56" t="str">
        <f>IF(Zen_Elite_Shoe_Sales[[#This Row],[Revenue]]&gt;=1000000,"Top Performer","Average Performer")</f>
        <v>Average Performer</v>
      </c>
    </row>
    <row r="4" spans="1:19" x14ac:dyDescent="0.35">
      <c r="A4" s="46">
        <v>46025</v>
      </c>
      <c r="B4" s="28" t="s">
        <v>19</v>
      </c>
      <c r="C4" s="28" t="s">
        <v>50</v>
      </c>
      <c r="D4" s="28" t="s">
        <v>21</v>
      </c>
      <c r="E4" s="28" t="s">
        <v>71</v>
      </c>
      <c r="F4" s="28" t="s">
        <v>23</v>
      </c>
      <c r="G4" s="6">
        <v>7</v>
      </c>
      <c r="H4" s="15">
        <v>44000</v>
      </c>
      <c r="I4" s="15">
        <v>49000</v>
      </c>
      <c r="J4" s="15">
        <f>PRODUCT('Cleaned Data'!$G4,'Cleaned Data'!$I4)</f>
        <v>343000</v>
      </c>
      <c r="K4" s="15">
        <f>PRODUCT('Cleaned Data'!$G4,'Cleaned Data'!$H4)</f>
        <v>308000</v>
      </c>
      <c r="L4" s="15">
        <f>('Cleaned Data'!$J4-'Cleaned Data'!$K4)</f>
        <v>35000</v>
      </c>
      <c r="M4" s="23">
        <f>('Cleaned Data'!$L4/'Cleaned Data'!$J4)</f>
        <v>0.10204081632653061</v>
      </c>
      <c r="N4" s="5" t="str">
        <f>IF('Cleaned Data'!$G4&gt;10,"High-Volume","Low-Volume")</f>
        <v>Low-Volume</v>
      </c>
      <c r="O4" s="5" t="str">
        <f>IF('Cleaned Data'!$I4&gt;=100000,"Premium","Standard")</f>
        <v>Standard</v>
      </c>
      <c r="P4" s="56" t="str">
        <f>IF(Zen_Elite_Shoe_Sales[[#This Row],[Revenue]]&gt;=1000000,"Top Performer","Average Performer")</f>
        <v>Average Performer</v>
      </c>
    </row>
    <row r="5" spans="1:19" x14ac:dyDescent="0.35">
      <c r="A5" s="47">
        <v>46026</v>
      </c>
      <c r="B5" s="29" t="s">
        <v>53</v>
      </c>
      <c r="C5" s="29" t="s">
        <v>15</v>
      </c>
      <c r="D5" s="29" t="s">
        <v>26</v>
      </c>
      <c r="E5" s="29" t="s">
        <v>27</v>
      </c>
      <c r="F5" s="29" t="s">
        <v>28</v>
      </c>
      <c r="G5" s="10">
        <v>6</v>
      </c>
      <c r="H5" s="16">
        <v>73000</v>
      </c>
      <c r="I5" s="16">
        <v>76000</v>
      </c>
      <c r="J5" s="16">
        <f>PRODUCT('Cleaned Data'!$G5,'Cleaned Data'!$I5)</f>
        <v>456000</v>
      </c>
      <c r="K5" s="16">
        <f>PRODUCT('Cleaned Data'!$G5,'Cleaned Data'!$H5)</f>
        <v>438000</v>
      </c>
      <c r="L5" s="16">
        <f>('Cleaned Data'!$J5-'Cleaned Data'!$K5)</f>
        <v>18000</v>
      </c>
      <c r="M5" s="24">
        <f>('Cleaned Data'!$L5/'Cleaned Data'!$J5)</f>
        <v>3.9473684210526314E-2</v>
      </c>
      <c r="N5" s="9" t="str">
        <f>IF('Cleaned Data'!$G5&gt;10,"High-Volume","Low-Volume")</f>
        <v>Low-Volume</v>
      </c>
      <c r="O5" s="9" t="str">
        <f>IF('Cleaned Data'!$I5&gt;=100000,"Premium","Standard")</f>
        <v>Standard</v>
      </c>
      <c r="P5" s="56" t="str">
        <f>IF(Zen_Elite_Shoe_Sales[[#This Row],[Revenue]]&gt;=1000000,"Top Performer","Average Performer")</f>
        <v>Average Performer</v>
      </c>
    </row>
    <row r="6" spans="1:19" ht="18.5" x14ac:dyDescent="0.45">
      <c r="A6" s="46">
        <v>46027</v>
      </c>
      <c r="B6" s="28" t="s">
        <v>73</v>
      </c>
      <c r="C6" s="28" t="s">
        <v>30</v>
      </c>
      <c r="D6" s="28" t="s">
        <v>31</v>
      </c>
      <c r="E6" s="28" t="s">
        <v>59</v>
      </c>
      <c r="F6" s="28" t="s">
        <v>33</v>
      </c>
      <c r="G6" s="6">
        <v>14</v>
      </c>
      <c r="H6" s="15">
        <v>70000</v>
      </c>
      <c r="I6" s="15">
        <v>76500</v>
      </c>
      <c r="J6" s="15">
        <f>PRODUCT('Cleaned Data'!$G6,'Cleaned Data'!$I6)</f>
        <v>1071000</v>
      </c>
      <c r="K6" s="15">
        <f>PRODUCT('Cleaned Data'!$G6,'Cleaned Data'!$H6)</f>
        <v>980000</v>
      </c>
      <c r="L6" s="15">
        <f>('Cleaned Data'!$J6-'Cleaned Data'!$K6)</f>
        <v>91000</v>
      </c>
      <c r="M6" s="23">
        <f>('Cleaned Data'!$L6/'Cleaned Data'!$J6)</f>
        <v>8.4967320261437912E-2</v>
      </c>
      <c r="N6" s="5" t="str">
        <f>IF('Cleaned Data'!$G6&gt;10,"High-Volume","Low-Volume")</f>
        <v>High-Volume</v>
      </c>
      <c r="O6" s="5" t="str">
        <f>IF('Cleaned Data'!$I6&gt;=100000,"Premium","Standard")</f>
        <v>Standard</v>
      </c>
      <c r="P6" s="56" t="str">
        <f>IF(Zen_Elite_Shoe_Sales[[#This Row],[Revenue]]&gt;=1000000,"Top Performer","Average Performer")</f>
        <v>Top Performer</v>
      </c>
      <c r="R6" s="34" t="s">
        <v>84</v>
      </c>
      <c r="S6" s="60">
        <f>SUM(L:L)</f>
        <v>14155500</v>
      </c>
    </row>
    <row r="7" spans="1:19" x14ac:dyDescent="0.35">
      <c r="A7" s="47">
        <v>46028</v>
      </c>
      <c r="B7" s="29" t="s">
        <v>34</v>
      </c>
      <c r="C7" s="29" t="s">
        <v>41</v>
      </c>
      <c r="D7" s="29" t="s">
        <v>11</v>
      </c>
      <c r="E7" s="29" t="s">
        <v>12</v>
      </c>
      <c r="F7" s="29" t="s">
        <v>37</v>
      </c>
      <c r="G7" s="10">
        <v>11</v>
      </c>
      <c r="H7" s="16">
        <v>118000</v>
      </c>
      <c r="I7" s="16">
        <v>119800</v>
      </c>
      <c r="J7" s="16">
        <f>PRODUCT('Cleaned Data'!$G7,'Cleaned Data'!$I7)</f>
        <v>1317800</v>
      </c>
      <c r="K7" s="16">
        <f>PRODUCT('Cleaned Data'!$G7,'Cleaned Data'!$H7)</f>
        <v>1298000</v>
      </c>
      <c r="L7" s="16">
        <f>('Cleaned Data'!$J7-'Cleaned Data'!$K7)</f>
        <v>19800</v>
      </c>
      <c r="M7" s="24">
        <f>('Cleaned Data'!$L7/'Cleaned Data'!$J7)</f>
        <v>1.5025041736227046E-2</v>
      </c>
      <c r="N7" s="9" t="str">
        <f>IF('Cleaned Data'!$G7&gt;10,"High-Volume","Low-Volume")</f>
        <v>High-Volume</v>
      </c>
      <c r="O7" s="9" t="str">
        <f>IF('Cleaned Data'!$I7&gt;=100000,"Premium","Standard")</f>
        <v>Premium</v>
      </c>
      <c r="P7" s="56" t="str">
        <f>IF(Zen_Elite_Shoe_Sales[[#This Row],[Revenue]]&gt;=1000000,"Top Performer","Average Performer")</f>
        <v>Top Performer</v>
      </c>
    </row>
    <row r="8" spans="1:19" x14ac:dyDescent="0.35">
      <c r="A8" s="46">
        <v>46029</v>
      </c>
      <c r="B8" s="28" t="s">
        <v>64</v>
      </c>
      <c r="C8" s="28" t="s">
        <v>41</v>
      </c>
      <c r="D8" s="28" t="s">
        <v>16</v>
      </c>
      <c r="E8" s="28" t="s">
        <v>12</v>
      </c>
      <c r="F8" s="28" t="s">
        <v>39</v>
      </c>
      <c r="G8" s="6">
        <v>7</v>
      </c>
      <c r="H8" s="15">
        <v>86000</v>
      </c>
      <c r="I8" s="15">
        <v>87800</v>
      </c>
      <c r="J8" s="15">
        <f>PRODUCT('Cleaned Data'!$G8,'Cleaned Data'!$I8)</f>
        <v>614600</v>
      </c>
      <c r="K8" s="15">
        <f>PRODUCT('Cleaned Data'!$G8,'Cleaned Data'!$H8)</f>
        <v>602000</v>
      </c>
      <c r="L8" s="15">
        <f>('Cleaned Data'!$J8-'Cleaned Data'!$K8)</f>
        <v>12600</v>
      </c>
      <c r="M8" s="23">
        <f>('Cleaned Data'!$L8/'Cleaned Data'!$J8)</f>
        <v>2.0501138952164009E-2</v>
      </c>
      <c r="N8" s="5" t="str">
        <f>IF('Cleaned Data'!$G8&gt;10,"High-Volume","Low-Volume")</f>
        <v>Low-Volume</v>
      </c>
      <c r="O8" s="5" t="str">
        <f>IF('Cleaned Data'!$I8&gt;=100000,"Premium","Standard")</f>
        <v>Standard</v>
      </c>
      <c r="P8" s="56" t="str">
        <f>IF(Zen_Elite_Shoe_Sales[[#This Row],[Revenue]]&gt;=1000000,"Top Performer","Average Performer")</f>
        <v>Average Performer</v>
      </c>
    </row>
    <row r="9" spans="1:19" x14ac:dyDescent="0.35">
      <c r="A9" s="47">
        <v>46030</v>
      </c>
      <c r="B9" s="29" t="s">
        <v>78</v>
      </c>
      <c r="C9" s="29" t="s">
        <v>41</v>
      </c>
      <c r="D9" s="29" t="s">
        <v>21</v>
      </c>
      <c r="E9" s="29" t="s">
        <v>27</v>
      </c>
      <c r="F9" s="29" t="s">
        <v>43</v>
      </c>
      <c r="G9" s="10">
        <v>13</v>
      </c>
      <c r="H9" s="16">
        <v>124000</v>
      </c>
      <c r="I9" s="16">
        <v>125800</v>
      </c>
      <c r="J9" s="16">
        <f>PRODUCT('Cleaned Data'!$G9,'Cleaned Data'!$I9)</f>
        <v>1635400</v>
      </c>
      <c r="K9" s="16">
        <f>PRODUCT('Cleaned Data'!$G9,'Cleaned Data'!$H9)</f>
        <v>1612000</v>
      </c>
      <c r="L9" s="16">
        <f>('Cleaned Data'!$J9-'Cleaned Data'!$K9)</f>
        <v>23400</v>
      </c>
      <c r="M9" s="24">
        <f>('Cleaned Data'!$L9/'Cleaned Data'!$J9)</f>
        <v>1.4308426073131956E-2</v>
      </c>
      <c r="N9" s="9" t="str">
        <f>IF('Cleaned Data'!$G9&gt;10,"High-Volume","Low-Volume")</f>
        <v>High-Volume</v>
      </c>
      <c r="O9" s="9" t="str">
        <f>IF('Cleaned Data'!$I9&gt;=100000,"Premium","Standard")</f>
        <v>Premium</v>
      </c>
      <c r="P9" s="56" t="str">
        <f>IF(Zen_Elite_Shoe_Sales[[#This Row],[Revenue]]&gt;=1000000,"Top Performer","Average Performer")</f>
        <v>Top Performer</v>
      </c>
    </row>
    <row r="10" spans="1:19" x14ac:dyDescent="0.35">
      <c r="A10" s="46">
        <v>46031</v>
      </c>
      <c r="B10" s="28" t="s">
        <v>44</v>
      </c>
      <c r="C10" s="28" t="s">
        <v>41</v>
      </c>
      <c r="D10" s="28" t="s">
        <v>26</v>
      </c>
      <c r="E10" s="28" t="s">
        <v>12</v>
      </c>
      <c r="F10" s="28" t="s">
        <v>45</v>
      </c>
      <c r="G10" s="6">
        <v>8</v>
      </c>
      <c r="H10" s="15">
        <v>136000</v>
      </c>
      <c r="I10" s="15">
        <v>137800</v>
      </c>
      <c r="J10" s="15">
        <f>PRODUCT('Cleaned Data'!$G10,'Cleaned Data'!$I10)</f>
        <v>1102400</v>
      </c>
      <c r="K10" s="15">
        <f>PRODUCT('Cleaned Data'!$G10,'Cleaned Data'!$H10)</f>
        <v>1088000</v>
      </c>
      <c r="L10" s="15">
        <f>('Cleaned Data'!$J10-'Cleaned Data'!$K10)</f>
        <v>14400</v>
      </c>
      <c r="M10" s="23">
        <f>('Cleaned Data'!$L10/'Cleaned Data'!$J10)</f>
        <v>1.3062409288824383E-2</v>
      </c>
      <c r="N10" s="5" t="str">
        <f>IF('Cleaned Data'!$G10&gt;10,"High-Volume","Low-Volume")</f>
        <v>Low-Volume</v>
      </c>
      <c r="O10" s="5" t="str">
        <f>IF('Cleaned Data'!$I10&gt;=100000,"Premium","Standard")</f>
        <v>Premium</v>
      </c>
      <c r="P10" s="56" t="str">
        <f>IF(Zen_Elite_Shoe_Sales[[#This Row],[Revenue]]&gt;=1000000,"Top Performer","Average Performer")</f>
        <v>Top Performer</v>
      </c>
    </row>
    <row r="11" spans="1:19" x14ac:dyDescent="0.35">
      <c r="A11" s="46">
        <v>46032</v>
      </c>
      <c r="B11" s="28" t="s">
        <v>67</v>
      </c>
      <c r="C11" s="28" t="s">
        <v>15</v>
      </c>
      <c r="D11" s="28" t="s">
        <v>31</v>
      </c>
      <c r="E11" s="28" t="s">
        <v>47</v>
      </c>
      <c r="F11" s="28" t="s">
        <v>48</v>
      </c>
      <c r="G11" s="6">
        <v>12</v>
      </c>
      <c r="H11" s="15">
        <v>60000</v>
      </c>
      <c r="I11" s="15">
        <v>66000</v>
      </c>
      <c r="J11" s="15">
        <f>PRODUCT('Cleaned Data'!$G11,'Cleaned Data'!$I11)</f>
        <v>792000</v>
      </c>
      <c r="K11" s="15">
        <f>PRODUCT('Cleaned Data'!$G11,'Cleaned Data'!$H11)</f>
        <v>720000</v>
      </c>
      <c r="L11" s="15">
        <f>('Cleaned Data'!$J11-'Cleaned Data'!$K11)</f>
        <v>72000</v>
      </c>
      <c r="M11" s="23">
        <f>('Cleaned Data'!$L11/'Cleaned Data'!$J11)</f>
        <v>9.0909090909090912E-2</v>
      </c>
      <c r="N11" s="5" t="str">
        <f>IF('Cleaned Data'!$G11&gt;10,"High-Volume","Low-Volume")</f>
        <v>High-Volume</v>
      </c>
      <c r="O11" s="5" t="str">
        <f>IF('Cleaned Data'!$I11&gt;=100000,"Premium","Standard")</f>
        <v>Standard</v>
      </c>
      <c r="P11" s="56" t="str">
        <f>IF(Zen_Elite_Shoe_Sales[[#This Row],[Revenue]]&gt;=1000000,"Top Performer","Average Performer")</f>
        <v>Average Performer</v>
      </c>
      <c r="S11" s="61"/>
    </row>
    <row r="12" spans="1:19" x14ac:dyDescent="0.35">
      <c r="A12" s="46">
        <v>46033</v>
      </c>
      <c r="B12" s="28" t="s">
        <v>19</v>
      </c>
      <c r="C12" s="28" t="s">
        <v>50</v>
      </c>
      <c r="D12" s="28" t="s">
        <v>11</v>
      </c>
      <c r="E12" s="28" t="s">
        <v>71</v>
      </c>
      <c r="F12" s="28" t="s">
        <v>52</v>
      </c>
      <c r="G12" s="6">
        <v>9</v>
      </c>
      <c r="H12" s="15">
        <v>43000</v>
      </c>
      <c r="I12" s="15">
        <v>48000</v>
      </c>
      <c r="J12" s="15">
        <f>PRODUCT('Cleaned Data'!$G12,'Cleaned Data'!$I12)</f>
        <v>432000</v>
      </c>
      <c r="K12" s="15">
        <f>PRODUCT('Cleaned Data'!$G12,'Cleaned Data'!$H12)</f>
        <v>387000</v>
      </c>
      <c r="L12" s="15">
        <f>('Cleaned Data'!$J12-'Cleaned Data'!$K12)</f>
        <v>45000</v>
      </c>
      <c r="M12" s="23">
        <f>('Cleaned Data'!$L12/'Cleaned Data'!$J12)</f>
        <v>0.10416666666666667</v>
      </c>
      <c r="N12" s="5" t="str">
        <f>IF('Cleaned Data'!$G12&gt;10,"High-Volume","Low-Volume")</f>
        <v>Low-Volume</v>
      </c>
      <c r="O12" s="5" t="str">
        <f>IF('Cleaned Data'!$I12&gt;=100000,"Premium","Standard")</f>
        <v>Standard</v>
      </c>
      <c r="P12" s="56" t="str">
        <f>IF(Zen_Elite_Shoe_Sales[[#This Row],[Revenue]]&gt;=1000000,"Top Performer","Average Performer")</f>
        <v>Average Performer</v>
      </c>
    </row>
    <row r="13" spans="1:19" x14ac:dyDescent="0.35">
      <c r="A13" s="46">
        <v>46034</v>
      </c>
      <c r="B13" s="28" t="s">
        <v>53</v>
      </c>
      <c r="C13" s="28" t="s">
        <v>15</v>
      </c>
      <c r="D13" s="28" t="s">
        <v>16</v>
      </c>
      <c r="E13" s="28" t="s">
        <v>27</v>
      </c>
      <c r="F13" s="28" t="s">
        <v>56</v>
      </c>
      <c r="G13" s="6">
        <v>6</v>
      </c>
      <c r="H13" s="15">
        <v>72000</v>
      </c>
      <c r="I13" s="15">
        <v>75000</v>
      </c>
      <c r="J13" s="15">
        <f>PRODUCT('Cleaned Data'!$G13,'Cleaned Data'!$I13)</f>
        <v>450000</v>
      </c>
      <c r="K13" s="15">
        <f>PRODUCT('Cleaned Data'!$G13,'Cleaned Data'!$H13)</f>
        <v>432000</v>
      </c>
      <c r="L13" s="15">
        <f>('Cleaned Data'!$J13-'Cleaned Data'!$K13)</f>
        <v>18000</v>
      </c>
      <c r="M13" s="23">
        <f>('Cleaned Data'!$L13/'Cleaned Data'!$J13)</f>
        <v>0.04</v>
      </c>
      <c r="N13" s="5" t="str">
        <f>IF('Cleaned Data'!$G13&gt;10,"High-Volume","Low-Volume")</f>
        <v>Low-Volume</v>
      </c>
      <c r="O13" s="5" t="str">
        <f>IF('Cleaned Data'!$I13&gt;=100000,"Premium","Standard")</f>
        <v>Standard</v>
      </c>
      <c r="P13" s="56" t="str">
        <f>IF(Zen_Elite_Shoe_Sales[[#This Row],[Revenue]]&gt;=1000000,"Top Performer","Average Performer")</f>
        <v>Average Performer</v>
      </c>
    </row>
    <row r="14" spans="1:19" x14ac:dyDescent="0.35">
      <c r="A14" s="46">
        <v>46035</v>
      </c>
      <c r="B14" s="28" t="s">
        <v>73</v>
      </c>
      <c r="C14" s="28" t="s">
        <v>30</v>
      </c>
      <c r="D14" s="28" t="s">
        <v>21</v>
      </c>
      <c r="E14" s="28" t="s">
        <v>59</v>
      </c>
      <c r="F14" s="28" t="s">
        <v>60</v>
      </c>
      <c r="G14" s="6">
        <v>6</v>
      </c>
      <c r="H14" s="15">
        <v>58000</v>
      </c>
      <c r="I14" s="15">
        <v>64000</v>
      </c>
      <c r="J14" s="15">
        <f>PRODUCT('Cleaned Data'!$G14,'Cleaned Data'!$I14)</f>
        <v>384000</v>
      </c>
      <c r="K14" s="15">
        <f>PRODUCT('Cleaned Data'!$G14,'Cleaned Data'!$H14)</f>
        <v>348000</v>
      </c>
      <c r="L14" s="15">
        <f>('Cleaned Data'!$J14-'Cleaned Data'!$K14)</f>
        <v>36000</v>
      </c>
      <c r="M14" s="23">
        <f>('Cleaned Data'!$L14/'Cleaned Data'!$J14)</f>
        <v>9.375E-2</v>
      </c>
      <c r="N14" s="5" t="str">
        <f>IF('Cleaned Data'!$G14&gt;10,"High-Volume","Low-Volume")</f>
        <v>Low-Volume</v>
      </c>
      <c r="O14" s="5" t="str">
        <f>IF('Cleaned Data'!$I14&gt;=100000,"Premium","Standard")</f>
        <v>Standard</v>
      </c>
      <c r="P14" s="56" t="str">
        <f>IF(Zen_Elite_Shoe_Sales[[#This Row],[Revenue]]&gt;=1000000,"Top Performer","Average Performer")</f>
        <v>Average Performer</v>
      </c>
    </row>
    <row r="15" spans="1:19" x14ac:dyDescent="0.35">
      <c r="A15" s="46">
        <v>46036</v>
      </c>
      <c r="B15" s="28" t="s">
        <v>34</v>
      </c>
      <c r="C15" s="28" t="s">
        <v>41</v>
      </c>
      <c r="D15" s="28" t="s">
        <v>26</v>
      </c>
      <c r="E15" s="28" t="s">
        <v>12</v>
      </c>
      <c r="F15" s="28" t="s">
        <v>63</v>
      </c>
      <c r="G15" s="6">
        <v>3</v>
      </c>
      <c r="H15" s="15">
        <v>93000</v>
      </c>
      <c r="I15" s="15">
        <v>94800</v>
      </c>
      <c r="J15" s="15">
        <f>PRODUCT('Cleaned Data'!$G15,'Cleaned Data'!$I15)</f>
        <v>284400</v>
      </c>
      <c r="K15" s="15">
        <f>PRODUCT('Cleaned Data'!$G15,'Cleaned Data'!$H15)</f>
        <v>279000</v>
      </c>
      <c r="L15" s="15">
        <f>('Cleaned Data'!$J15-'Cleaned Data'!$K15)</f>
        <v>5400</v>
      </c>
      <c r="M15" s="23">
        <f>('Cleaned Data'!$L15/'Cleaned Data'!$J15)</f>
        <v>1.8987341772151899E-2</v>
      </c>
      <c r="N15" s="5" t="str">
        <f>IF('Cleaned Data'!$G15&gt;10,"High-Volume","Low-Volume")</f>
        <v>Low-Volume</v>
      </c>
      <c r="O15" s="5" t="str">
        <f>IF('Cleaned Data'!$I15&gt;=100000,"Premium","Standard")</f>
        <v>Standard</v>
      </c>
      <c r="P15" s="56" t="str">
        <f>IF(Zen_Elite_Shoe_Sales[[#This Row],[Revenue]]&gt;=1000000,"Top Performer","Average Performer")</f>
        <v>Average Performer</v>
      </c>
    </row>
    <row r="16" spans="1:19" x14ac:dyDescent="0.35">
      <c r="A16" s="46">
        <v>46037</v>
      </c>
      <c r="B16" s="28" t="s">
        <v>64</v>
      </c>
      <c r="C16" s="28" t="s">
        <v>41</v>
      </c>
      <c r="D16" s="28" t="s">
        <v>31</v>
      </c>
      <c r="E16" s="28" t="s">
        <v>12</v>
      </c>
      <c r="F16" s="28" t="s">
        <v>13</v>
      </c>
      <c r="G16" s="6">
        <v>11</v>
      </c>
      <c r="H16" s="15">
        <v>96000</v>
      </c>
      <c r="I16" s="15">
        <v>97800</v>
      </c>
      <c r="J16" s="15">
        <f>PRODUCT('Cleaned Data'!$G16,'Cleaned Data'!$I16)</f>
        <v>1075800</v>
      </c>
      <c r="K16" s="15">
        <f>PRODUCT('Cleaned Data'!$G16,'Cleaned Data'!$H16)</f>
        <v>1056000</v>
      </c>
      <c r="L16" s="15">
        <f>('Cleaned Data'!$J16-'Cleaned Data'!$K16)</f>
        <v>19800</v>
      </c>
      <c r="M16" s="23">
        <f>('Cleaned Data'!$L16/'Cleaned Data'!$J16)</f>
        <v>1.8404907975460124E-2</v>
      </c>
      <c r="N16" s="5" t="str">
        <f>IF('Cleaned Data'!$G16&gt;10,"High-Volume","Low-Volume")</f>
        <v>High-Volume</v>
      </c>
      <c r="O16" s="5" t="str">
        <f>IF('Cleaned Data'!$I16&gt;=100000,"Premium","Standard")</f>
        <v>Standard</v>
      </c>
      <c r="P16" s="56" t="str">
        <f>IF(Zen_Elite_Shoe_Sales[[#This Row],[Revenue]]&gt;=1000000,"Top Performer","Average Performer")</f>
        <v>Top Performer</v>
      </c>
    </row>
    <row r="17" spans="1:16" x14ac:dyDescent="0.35">
      <c r="A17" s="46">
        <v>46038</v>
      </c>
      <c r="B17" s="28" t="s">
        <v>78</v>
      </c>
      <c r="C17" s="28" t="s">
        <v>41</v>
      </c>
      <c r="D17" s="28" t="s">
        <v>11</v>
      </c>
      <c r="E17" s="28" t="s">
        <v>27</v>
      </c>
      <c r="F17" s="28" t="s">
        <v>18</v>
      </c>
      <c r="G17" s="6">
        <v>7</v>
      </c>
      <c r="H17" s="15">
        <v>135000</v>
      </c>
      <c r="I17" s="15">
        <v>136800</v>
      </c>
      <c r="J17" s="15">
        <f>PRODUCT('Cleaned Data'!$G17,'Cleaned Data'!$I17)</f>
        <v>957600</v>
      </c>
      <c r="K17" s="15">
        <f>PRODUCT('Cleaned Data'!$G17,'Cleaned Data'!$H17)</f>
        <v>945000</v>
      </c>
      <c r="L17" s="15">
        <f>('Cleaned Data'!$J17-'Cleaned Data'!$K17)</f>
        <v>12600</v>
      </c>
      <c r="M17" s="23">
        <f>('Cleaned Data'!$L17/'Cleaned Data'!$J17)</f>
        <v>1.3157894736842105E-2</v>
      </c>
      <c r="N17" s="5" t="str">
        <f>IF('Cleaned Data'!$G17&gt;10,"High-Volume","Low-Volume")</f>
        <v>Low-Volume</v>
      </c>
      <c r="O17" s="5" t="str">
        <f>IF('Cleaned Data'!$I17&gt;=100000,"Premium","Standard")</f>
        <v>Premium</v>
      </c>
      <c r="P17" s="56" t="str">
        <f>IF(Zen_Elite_Shoe_Sales[[#This Row],[Revenue]]&gt;=1000000,"Top Performer","Average Performer")</f>
        <v>Average Performer</v>
      </c>
    </row>
    <row r="18" spans="1:16" x14ac:dyDescent="0.35">
      <c r="A18" s="46">
        <v>46039</v>
      </c>
      <c r="B18" s="28" t="s">
        <v>44</v>
      </c>
      <c r="C18" s="28" t="s">
        <v>41</v>
      </c>
      <c r="D18" s="28" t="s">
        <v>16</v>
      </c>
      <c r="E18" s="28" t="s">
        <v>12</v>
      </c>
      <c r="F18" s="28" t="s">
        <v>23</v>
      </c>
      <c r="G18" s="6">
        <v>13</v>
      </c>
      <c r="H18" s="15">
        <v>105000</v>
      </c>
      <c r="I18" s="15">
        <v>106800</v>
      </c>
      <c r="J18" s="15">
        <f>PRODUCT('Cleaned Data'!$G18,'Cleaned Data'!$I18)</f>
        <v>1388400</v>
      </c>
      <c r="K18" s="15">
        <f>PRODUCT('Cleaned Data'!$G18,'Cleaned Data'!$H18)</f>
        <v>1365000</v>
      </c>
      <c r="L18" s="15">
        <f>('Cleaned Data'!$J18-'Cleaned Data'!$K18)</f>
        <v>23400</v>
      </c>
      <c r="M18" s="23">
        <f>('Cleaned Data'!$L18/'Cleaned Data'!$J18)</f>
        <v>1.6853932584269662E-2</v>
      </c>
      <c r="N18" s="5" t="str">
        <f>IF('Cleaned Data'!$G18&gt;10,"High-Volume","Low-Volume")</f>
        <v>High-Volume</v>
      </c>
      <c r="O18" s="5" t="str">
        <f>IF('Cleaned Data'!$I18&gt;=100000,"Premium","Standard")</f>
        <v>Premium</v>
      </c>
      <c r="P18" s="56" t="str">
        <f>IF(Zen_Elite_Shoe_Sales[[#This Row],[Revenue]]&gt;=1000000,"Top Performer","Average Performer")</f>
        <v>Top Performer</v>
      </c>
    </row>
    <row r="19" spans="1:16" x14ac:dyDescent="0.35">
      <c r="A19" s="46">
        <v>46040</v>
      </c>
      <c r="B19" s="28" t="s">
        <v>67</v>
      </c>
      <c r="C19" s="28" t="s">
        <v>15</v>
      </c>
      <c r="D19" s="28" t="s">
        <v>21</v>
      </c>
      <c r="E19" s="28" t="s">
        <v>47</v>
      </c>
      <c r="F19" s="28" t="s">
        <v>28</v>
      </c>
      <c r="G19" s="6">
        <v>11</v>
      </c>
      <c r="H19" s="15">
        <v>64000</v>
      </c>
      <c r="I19" s="15">
        <v>70500</v>
      </c>
      <c r="J19" s="15">
        <f>PRODUCT('Cleaned Data'!$G19,'Cleaned Data'!$I19)</f>
        <v>775500</v>
      </c>
      <c r="K19" s="15">
        <f>PRODUCT('Cleaned Data'!$G19,'Cleaned Data'!$H19)</f>
        <v>704000</v>
      </c>
      <c r="L19" s="15">
        <f>('Cleaned Data'!$J19-'Cleaned Data'!$K19)</f>
        <v>71500</v>
      </c>
      <c r="M19" s="23">
        <f>('Cleaned Data'!$L19/'Cleaned Data'!$J19)</f>
        <v>9.2198581560283682E-2</v>
      </c>
      <c r="N19" s="5" t="str">
        <f>IF('Cleaned Data'!$G19&gt;10,"High-Volume","Low-Volume")</f>
        <v>High-Volume</v>
      </c>
      <c r="O19" s="5" t="str">
        <f>IF('Cleaned Data'!$I19&gt;=100000,"Premium","Standard")</f>
        <v>Standard</v>
      </c>
      <c r="P19" s="56" t="str">
        <f>IF(Zen_Elite_Shoe_Sales[[#This Row],[Revenue]]&gt;=1000000,"Top Performer","Average Performer")</f>
        <v>Average Performer</v>
      </c>
    </row>
    <row r="20" spans="1:16" x14ac:dyDescent="0.35">
      <c r="A20" s="46">
        <v>46041</v>
      </c>
      <c r="B20" s="28" t="s">
        <v>19</v>
      </c>
      <c r="C20" s="28" t="s">
        <v>50</v>
      </c>
      <c r="D20" s="28" t="s">
        <v>26</v>
      </c>
      <c r="E20" s="28" t="s">
        <v>71</v>
      </c>
      <c r="F20" s="28" t="s">
        <v>33</v>
      </c>
      <c r="G20" s="6">
        <v>10</v>
      </c>
      <c r="H20" s="15">
        <v>53000</v>
      </c>
      <c r="I20" s="15">
        <v>59000</v>
      </c>
      <c r="J20" s="15">
        <f>PRODUCT('Cleaned Data'!$G20,'Cleaned Data'!$I20)</f>
        <v>590000</v>
      </c>
      <c r="K20" s="15">
        <f>PRODUCT('Cleaned Data'!$G20,'Cleaned Data'!$H20)</f>
        <v>530000</v>
      </c>
      <c r="L20" s="15">
        <f>('Cleaned Data'!$J20-'Cleaned Data'!$K20)</f>
        <v>60000</v>
      </c>
      <c r="M20" s="23">
        <f>('Cleaned Data'!$L20/'Cleaned Data'!$J20)</f>
        <v>0.10169491525423729</v>
      </c>
      <c r="N20" s="5" t="str">
        <f>IF('Cleaned Data'!$G20&gt;10,"High-Volume","Low-Volume")</f>
        <v>Low-Volume</v>
      </c>
      <c r="O20" s="5" t="str">
        <f>IF('Cleaned Data'!$I20&gt;=100000,"Premium","Standard")</f>
        <v>Standard</v>
      </c>
      <c r="P20" s="56" t="str">
        <f>IF(Zen_Elite_Shoe_Sales[[#This Row],[Revenue]]&gt;=1000000,"Top Performer","Average Performer")</f>
        <v>Average Performer</v>
      </c>
    </row>
    <row r="21" spans="1:16" x14ac:dyDescent="0.35">
      <c r="A21" s="46">
        <v>46042</v>
      </c>
      <c r="B21" s="28" t="s">
        <v>53</v>
      </c>
      <c r="C21" s="28" t="s">
        <v>15</v>
      </c>
      <c r="D21" s="28" t="s">
        <v>31</v>
      </c>
      <c r="E21" s="28" t="s">
        <v>27</v>
      </c>
      <c r="F21" s="28" t="s">
        <v>37</v>
      </c>
      <c r="G21" s="6">
        <v>14</v>
      </c>
      <c r="H21" s="15">
        <v>53000</v>
      </c>
      <c r="I21" s="15">
        <v>59000</v>
      </c>
      <c r="J21" s="15">
        <f>PRODUCT('Cleaned Data'!$G21,'Cleaned Data'!$I21)</f>
        <v>826000</v>
      </c>
      <c r="K21" s="15">
        <f>PRODUCT('Cleaned Data'!$G21,'Cleaned Data'!$H21)</f>
        <v>742000</v>
      </c>
      <c r="L21" s="15">
        <f>('Cleaned Data'!$J21-'Cleaned Data'!$K21)</f>
        <v>84000</v>
      </c>
      <c r="M21" s="23">
        <f>('Cleaned Data'!$L21/'Cleaned Data'!$J21)</f>
        <v>0.10169491525423729</v>
      </c>
      <c r="N21" s="5" t="str">
        <f>IF('Cleaned Data'!$G21&gt;10,"High-Volume","Low-Volume")</f>
        <v>High-Volume</v>
      </c>
      <c r="O21" s="5" t="str">
        <f>IF('Cleaned Data'!$I21&gt;=100000,"Premium","Standard")</f>
        <v>Standard</v>
      </c>
      <c r="P21" s="56" t="str">
        <f>IF(Zen_Elite_Shoe_Sales[[#This Row],[Revenue]]&gt;=1000000,"Top Performer","Average Performer")</f>
        <v>Average Performer</v>
      </c>
    </row>
    <row r="22" spans="1:16" x14ac:dyDescent="0.35">
      <c r="A22" s="46">
        <v>46043</v>
      </c>
      <c r="B22" s="28" t="s">
        <v>73</v>
      </c>
      <c r="C22" s="28" t="s">
        <v>30</v>
      </c>
      <c r="D22" s="28" t="s">
        <v>11</v>
      </c>
      <c r="E22" s="28" t="s">
        <v>59</v>
      </c>
      <c r="F22" s="28" t="s">
        <v>39</v>
      </c>
      <c r="G22" s="6">
        <v>11</v>
      </c>
      <c r="H22" s="15">
        <v>57000</v>
      </c>
      <c r="I22" s="15">
        <v>63000</v>
      </c>
      <c r="J22" s="15">
        <f>PRODUCT('Cleaned Data'!$G22,'Cleaned Data'!$I22)</f>
        <v>693000</v>
      </c>
      <c r="K22" s="15">
        <f>PRODUCT('Cleaned Data'!$G22,'Cleaned Data'!$H22)</f>
        <v>627000</v>
      </c>
      <c r="L22" s="15">
        <f>('Cleaned Data'!$J22-'Cleaned Data'!$K22)</f>
        <v>66000</v>
      </c>
      <c r="M22" s="23">
        <f>('Cleaned Data'!$L22/'Cleaned Data'!$J22)</f>
        <v>9.5238095238095233E-2</v>
      </c>
      <c r="N22" s="5" t="str">
        <f>IF('Cleaned Data'!$G22&gt;10,"High-Volume","Low-Volume")</f>
        <v>High-Volume</v>
      </c>
      <c r="O22" s="5" t="str">
        <f>IF('Cleaned Data'!$I22&gt;=100000,"Premium","Standard")</f>
        <v>Standard</v>
      </c>
      <c r="P22" s="56" t="str">
        <f>IF(Zen_Elite_Shoe_Sales[[#This Row],[Revenue]]&gt;=1000000,"Top Performer","Average Performer")</f>
        <v>Average Performer</v>
      </c>
    </row>
    <row r="23" spans="1:16" x14ac:dyDescent="0.35">
      <c r="A23" s="46">
        <v>46044</v>
      </c>
      <c r="B23" s="28" t="s">
        <v>34</v>
      </c>
      <c r="C23" s="28" t="s">
        <v>41</v>
      </c>
      <c r="D23" s="28" t="s">
        <v>16</v>
      </c>
      <c r="E23" s="28" t="s">
        <v>12</v>
      </c>
      <c r="F23" s="28" t="s">
        <v>43</v>
      </c>
      <c r="G23" s="6">
        <v>14</v>
      </c>
      <c r="H23" s="15">
        <v>122000</v>
      </c>
      <c r="I23" s="15">
        <v>123800</v>
      </c>
      <c r="J23" s="15">
        <f>PRODUCT('Cleaned Data'!$G23,'Cleaned Data'!$I23)</f>
        <v>1733200</v>
      </c>
      <c r="K23" s="15">
        <f>PRODUCT('Cleaned Data'!$G23,'Cleaned Data'!$H23)</f>
        <v>1708000</v>
      </c>
      <c r="L23" s="15">
        <f>('Cleaned Data'!$J23-'Cleaned Data'!$K23)</f>
        <v>25200</v>
      </c>
      <c r="M23" s="23">
        <f>('Cleaned Data'!$L23/'Cleaned Data'!$J23)</f>
        <v>1.4539579967689823E-2</v>
      </c>
      <c r="N23" s="5" t="str">
        <f>IF('Cleaned Data'!$G23&gt;10,"High-Volume","Low-Volume")</f>
        <v>High-Volume</v>
      </c>
      <c r="O23" s="5" t="str">
        <f>IF('Cleaned Data'!$I23&gt;=100000,"Premium","Standard")</f>
        <v>Premium</v>
      </c>
      <c r="P23" s="56" t="str">
        <f>IF(Zen_Elite_Shoe_Sales[[#This Row],[Revenue]]&gt;=1000000,"Top Performer","Average Performer")</f>
        <v>Top Performer</v>
      </c>
    </row>
    <row r="24" spans="1:16" x14ac:dyDescent="0.35">
      <c r="A24" s="46">
        <v>46045</v>
      </c>
      <c r="B24" s="28" t="s">
        <v>64</v>
      </c>
      <c r="C24" s="28" t="s">
        <v>41</v>
      </c>
      <c r="D24" s="28" t="s">
        <v>21</v>
      </c>
      <c r="E24" s="28" t="s">
        <v>12</v>
      </c>
      <c r="F24" s="28" t="s">
        <v>45</v>
      </c>
      <c r="G24" s="6">
        <v>9</v>
      </c>
      <c r="H24" s="15">
        <v>113000</v>
      </c>
      <c r="I24" s="15">
        <v>114800</v>
      </c>
      <c r="J24" s="15">
        <f>PRODUCT('Cleaned Data'!$G24,'Cleaned Data'!$I24)</f>
        <v>1033200</v>
      </c>
      <c r="K24" s="15">
        <f>PRODUCT('Cleaned Data'!$G24,'Cleaned Data'!$H24)</f>
        <v>1017000</v>
      </c>
      <c r="L24" s="15">
        <f>('Cleaned Data'!$J24-'Cleaned Data'!$K24)</f>
        <v>16200</v>
      </c>
      <c r="M24" s="23">
        <f>('Cleaned Data'!$L24/'Cleaned Data'!$J24)</f>
        <v>1.5679442508710801E-2</v>
      </c>
      <c r="N24" s="5" t="str">
        <f>IF('Cleaned Data'!$G24&gt;10,"High-Volume","Low-Volume")</f>
        <v>Low-Volume</v>
      </c>
      <c r="O24" s="5" t="str">
        <f>IF('Cleaned Data'!$I24&gt;=100000,"Premium","Standard")</f>
        <v>Premium</v>
      </c>
      <c r="P24" s="56" t="str">
        <f>IF(Zen_Elite_Shoe_Sales[[#This Row],[Revenue]]&gt;=1000000,"Top Performer","Average Performer")</f>
        <v>Top Performer</v>
      </c>
    </row>
    <row r="25" spans="1:16" x14ac:dyDescent="0.35">
      <c r="A25" s="46">
        <v>46046</v>
      </c>
      <c r="B25" s="28" t="s">
        <v>78</v>
      </c>
      <c r="C25" s="28" t="s">
        <v>41</v>
      </c>
      <c r="D25" s="28" t="s">
        <v>26</v>
      </c>
      <c r="E25" s="28" t="s">
        <v>27</v>
      </c>
      <c r="F25" s="28" t="s">
        <v>48</v>
      </c>
      <c r="G25" s="6">
        <v>9</v>
      </c>
      <c r="H25" s="15">
        <v>121000</v>
      </c>
      <c r="I25" s="15">
        <v>122800</v>
      </c>
      <c r="J25" s="15">
        <f>PRODUCT('Cleaned Data'!$G25,'Cleaned Data'!$I25)</f>
        <v>1105200</v>
      </c>
      <c r="K25" s="15">
        <f>PRODUCT('Cleaned Data'!$G25,'Cleaned Data'!$H25)</f>
        <v>1089000</v>
      </c>
      <c r="L25" s="15">
        <f>('Cleaned Data'!$J25-'Cleaned Data'!$K25)</f>
        <v>16200</v>
      </c>
      <c r="M25" s="23">
        <f>('Cleaned Data'!$L25/'Cleaned Data'!$J25)</f>
        <v>1.4657980456026058E-2</v>
      </c>
      <c r="N25" s="5" t="str">
        <f>IF('Cleaned Data'!$G25&gt;10,"High-Volume","Low-Volume")</f>
        <v>Low-Volume</v>
      </c>
      <c r="O25" s="5" t="str">
        <f>IF('Cleaned Data'!$I25&gt;=100000,"Premium","Standard")</f>
        <v>Premium</v>
      </c>
      <c r="P25" s="56" t="str">
        <f>IF(Zen_Elite_Shoe_Sales[[#This Row],[Revenue]]&gt;=1000000,"Top Performer","Average Performer")</f>
        <v>Top Performer</v>
      </c>
    </row>
    <row r="26" spans="1:16" x14ac:dyDescent="0.35">
      <c r="A26" s="46">
        <v>46047</v>
      </c>
      <c r="B26" s="28" t="s">
        <v>44</v>
      </c>
      <c r="C26" s="28" t="s">
        <v>41</v>
      </c>
      <c r="D26" s="28" t="s">
        <v>31</v>
      </c>
      <c r="E26" s="28" t="s">
        <v>12</v>
      </c>
      <c r="F26" s="28" t="s">
        <v>52</v>
      </c>
      <c r="G26" s="6">
        <v>13</v>
      </c>
      <c r="H26" s="15">
        <v>114000</v>
      </c>
      <c r="I26" s="15">
        <v>115800</v>
      </c>
      <c r="J26" s="15">
        <f>PRODUCT('Cleaned Data'!$G26,'Cleaned Data'!$I26)</f>
        <v>1505400</v>
      </c>
      <c r="K26" s="15">
        <f>PRODUCT('Cleaned Data'!$G26,'Cleaned Data'!$H26)</f>
        <v>1482000</v>
      </c>
      <c r="L26" s="15">
        <f>('Cleaned Data'!$J26-'Cleaned Data'!$K26)</f>
        <v>23400</v>
      </c>
      <c r="M26" s="23">
        <f>('Cleaned Data'!$L26/'Cleaned Data'!$J26)</f>
        <v>1.5544041450777202E-2</v>
      </c>
      <c r="N26" s="5" t="str">
        <f>IF('Cleaned Data'!$G26&gt;10,"High-Volume","Low-Volume")</f>
        <v>High-Volume</v>
      </c>
      <c r="O26" s="5" t="str">
        <f>IF('Cleaned Data'!$I26&gt;=100000,"Premium","Standard")</f>
        <v>Premium</v>
      </c>
      <c r="P26" s="56" t="str">
        <f>IF(Zen_Elite_Shoe_Sales[[#This Row],[Revenue]]&gt;=1000000,"Top Performer","Average Performer")</f>
        <v>Top Performer</v>
      </c>
    </row>
    <row r="27" spans="1:16" x14ac:dyDescent="0.35">
      <c r="A27" s="46">
        <v>46048</v>
      </c>
      <c r="B27" s="28" t="s">
        <v>67</v>
      </c>
      <c r="C27" s="28" t="s">
        <v>15</v>
      </c>
      <c r="D27" s="28" t="s">
        <v>11</v>
      </c>
      <c r="E27" s="28" t="s">
        <v>47</v>
      </c>
      <c r="F27" s="28" t="s">
        <v>56</v>
      </c>
      <c r="G27" s="6">
        <v>4</v>
      </c>
      <c r="H27" s="15">
        <v>62000</v>
      </c>
      <c r="I27" s="15">
        <v>68500</v>
      </c>
      <c r="J27" s="15">
        <f>PRODUCT('Cleaned Data'!$G27,'Cleaned Data'!$I27)</f>
        <v>274000</v>
      </c>
      <c r="K27" s="15">
        <f>PRODUCT('Cleaned Data'!$G27,'Cleaned Data'!$H27)</f>
        <v>248000</v>
      </c>
      <c r="L27" s="15">
        <f>('Cleaned Data'!$J27-'Cleaned Data'!$K27)</f>
        <v>26000</v>
      </c>
      <c r="M27" s="23">
        <f>('Cleaned Data'!$L27/'Cleaned Data'!$J27)</f>
        <v>9.4890510948905105E-2</v>
      </c>
      <c r="N27" s="5" t="str">
        <f>IF('Cleaned Data'!$G27&gt;10,"High-Volume","Low-Volume")</f>
        <v>Low-Volume</v>
      </c>
      <c r="O27" s="5" t="str">
        <f>IF('Cleaned Data'!$I27&gt;=100000,"Premium","Standard")</f>
        <v>Standard</v>
      </c>
      <c r="P27" s="56" t="str">
        <f>IF(Zen_Elite_Shoe_Sales[[#This Row],[Revenue]]&gt;=1000000,"Top Performer","Average Performer")</f>
        <v>Average Performer</v>
      </c>
    </row>
    <row r="28" spans="1:16" x14ac:dyDescent="0.35">
      <c r="A28" s="46">
        <v>46049</v>
      </c>
      <c r="B28" s="28" t="s">
        <v>19</v>
      </c>
      <c r="C28" s="28" t="s">
        <v>50</v>
      </c>
      <c r="D28" s="28" t="s">
        <v>16</v>
      </c>
      <c r="E28" s="28" t="s">
        <v>71</v>
      </c>
      <c r="F28" s="28" t="s">
        <v>60</v>
      </c>
      <c r="G28" s="6">
        <v>13</v>
      </c>
      <c r="H28" s="15">
        <v>47000</v>
      </c>
      <c r="I28" s="15">
        <v>52000</v>
      </c>
      <c r="J28" s="15">
        <f>PRODUCT('Cleaned Data'!$G28,'Cleaned Data'!$I28)</f>
        <v>676000</v>
      </c>
      <c r="K28" s="15">
        <f>PRODUCT('Cleaned Data'!$G28,'Cleaned Data'!$H28)</f>
        <v>611000</v>
      </c>
      <c r="L28" s="15">
        <f>('Cleaned Data'!$J28-'Cleaned Data'!$K28)</f>
        <v>65000</v>
      </c>
      <c r="M28" s="23">
        <f>('Cleaned Data'!$L28/'Cleaned Data'!$J28)</f>
        <v>9.6153846153846159E-2</v>
      </c>
      <c r="N28" s="5" t="str">
        <f>IF('Cleaned Data'!$G28&gt;10,"High-Volume","Low-Volume")</f>
        <v>High-Volume</v>
      </c>
      <c r="O28" s="5" t="str">
        <f>IF('Cleaned Data'!$I28&gt;=100000,"Premium","Standard")</f>
        <v>Standard</v>
      </c>
      <c r="P28" s="56" t="str">
        <f>IF(Zen_Elite_Shoe_Sales[[#This Row],[Revenue]]&gt;=1000000,"Top Performer","Average Performer")</f>
        <v>Average Performer</v>
      </c>
    </row>
    <row r="29" spans="1:16" x14ac:dyDescent="0.35">
      <c r="A29" s="46">
        <v>46050</v>
      </c>
      <c r="B29" s="28" t="s">
        <v>53</v>
      </c>
      <c r="C29" s="28" t="s">
        <v>15</v>
      </c>
      <c r="D29" s="28" t="s">
        <v>21</v>
      </c>
      <c r="E29" s="28" t="s">
        <v>27</v>
      </c>
      <c r="F29" s="28" t="s">
        <v>63</v>
      </c>
      <c r="G29" s="6">
        <v>12</v>
      </c>
      <c r="H29" s="15">
        <v>63000</v>
      </c>
      <c r="I29" s="15">
        <v>69500</v>
      </c>
      <c r="J29" s="15">
        <f>PRODUCT('Cleaned Data'!$G29,'Cleaned Data'!$I29)</f>
        <v>834000</v>
      </c>
      <c r="K29" s="15">
        <f>PRODUCT('Cleaned Data'!$G29,'Cleaned Data'!$H29)</f>
        <v>756000</v>
      </c>
      <c r="L29" s="15">
        <f>('Cleaned Data'!$J29-'Cleaned Data'!$K29)</f>
        <v>78000</v>
      </c>
      <c r="M29" s="23">
        <f>('Cleaned Data'!$L29/'Cleaned Data'!$J29)</f>
        <v>9.3525179856115109E-2</v>
      </c>
      <c r="N29" s="5" t="str">
        <f>IF('Cleaned Data'!$G29&gt;10,"High-Volume","Low-Volume")</f>
        <v>High-Volume</v>
      </c>
      <c r="O29" s="5" t="str">
        <f>IF('Cleaned Data'!$I29&gt;=100000,"Premium","Standard")</f>
        <v>Standard</v>
      </c>
      <c r="P29" s="56" t="str">
        <f>IF(Zen_Elite_Shoe_Sales[[#This Row],[Revenue]]&gt;=1000000,"Top Performer","Average Performer")</f>
        <v>Average Performer</v>
      </c>
    </row>
    <row r="30" spans="1:16" x14ac:dyDescent="0.35">
      <c r="A30" s="46">
        <v>46051</v>
      </c>
      <c r="B30" s="28" t="s">
        <v>73</v>
      </c>
      <c r="C30" s="28" t="s">
        <v>30</v>
      </c>
      <c r="D30" s="28" t="s">
        <v>26</v>
      </c>
      <c r="E30" s="28" t="s">
        <v>59</v>
      </c>
      <c r="F30" s="28" t="s">
        <v>13</v>
      </c>
      <c r="G30" s="6">
        <v>12</v>
      </c>
      <c r="H30" s="15">
        <v>58000</v>
      </c>
      <c r="I30" s="15">
        <v>64000</v>
      </c>
      <c r="J30" s="15">
        <f>PRODUCT('Cleaned Data'!$G30,'Cleaned Data'!$I30)</f>
        <v>768000</v>
      </c>
      <c r="K30" s="15">
        <f>PRODUCT('Cleaned Data'!$G30,'Cleaned Data'!$H30)</f>
        <v>696000</v>
      </c>
      <c r="L30" s="15">
        <f>('Cleaned Data'!$J30-'Cleaned Data'!$K30)</f>
        <v>72000</v>
      </c>
      <c r="M30" s="23">
        <f>('Cleaned Data'!$L30/'Cleaned Data'!$J30)</f>
        <v>9.375E-2</v>
      </c>
      <c r="N30" s="5" t="str">
        <f>IF('Cleaned Data'!$G30&gt;10,"High-Volume","Low-Volume")</f>
        <v>High-Volume</v>
      </c>
      <c r="O30" s="5" t="str">
        <f>IF('Cleaned Data'!$I30&gt;=100000,"Premium","Standard")</f>
        <v>Standard</v>
      </c>
      <c r="P30" s="56" t="str">
        <f>IF(Zen_Elite_Shoe_Sales[[#This Row],[Revenue]]&gt;=1000000,"Top Performer","Average Performer")</f>
        <v>Average Performer</v>
      </c>
    </row>
    <row r="31" spans="1:16" x14ac:dyDescent="0.35">
      <c r="A31" s="46">
        <v>46052</v>
      </c>
      <c r="B31" s="28" t="s">
        <v>34</v>
      </c>
      <c r="C31" s="28" t="s">
        <v>41</v>
      </c>
      <c r="D31" s="28" t="s">
        <v>31</v>
      </c>
      <c r="E31" s="28" t="s">
        <v>12</v>
      </c>
      <c r="F31" s="28" t="s">
        <v>18</v>
      </c>
      <c r="G31" s="6">
        <v>3</v>
      </c>
      <c r="H31" s="15">
        <v>93000</v>
      </c>
      <c r="I31" s="15">
        <v>94800</v>
      </c>
      <c r="J31" s="15">
        <f>PRODUCT('Cleaned Data'!$G31,'Cleaned Data'!$I31)</f>
        <v>284400</v>
      </c>
      <c r="K31" s="15">
        <f>PRODUCT('Cleaned Data'!$G31,'Cleaned Data'!$H31)</f>
        <v>279000</v>
      </c>
      <c r="L31" s="15">
        <f>('Cleaned Data'!$J31-'Cleaned Data'!$K31)</f>
        <v>5400</v>
      </c>
      <c r="M31" s="23">
        <f>('Cleaned Data'!$L31/'Cleaned Data'!$J31)</f>
        <v>1.8987341772151899E-2</v>
      </c>
      <c r="N31" s="5" t="str">
        <f>IF('Cleaned Data'!$G31&gt;10,"High-Volume","Low-Volume")</f>
        <v>Low-Volume</v>
      </c>
      <c r="O31" s="5" t="str">
        <f>IF('Cleaned Data'!$I31&gt;=100000,"Premium","Standard")</f>
        <v>Standard</v>
      </c>
      <c r="P31" s="56" t="str">
        <f>IF(Zen_Elite_Shoe_Sales[[#This Row],[Revenue]]&gt;=1000000,"Top Performer","Average Performer")</f>
        <v>Average Performer</v>
      </c>
    </row>
    <row r="32" spans="1:16" x14ac:dyDescent="0.35">
      <c r="A32" s="46">
        <v>46053</v>
      </c>
      <c r="B32" s="28" t="s">
        <v>64</v>
      </c>
      <c r="C32" s="28" t="s">
        <v>41</v>
      </c>
      <c r="D32" s="28" t="s">
        <v>11</v>
      </c>
      <c r="E32" s="28" t="s">
        <v>12</v>
      </c>
      <c r="F32" s="28" t="s">
        <v>23</v>
      </c>
      <c r="G32" s="6">
        <v>10</v>
      </c>
      <c r="H32" s="15">
        <v>94000</v>
      </c>
      <c r="I32" s="15">
        <v>95800</v>
      </c>
      <c r="J32" s="15">
        <f>PRODUCT('Cleaned Data'!$G32,'Cleaned Data'!$I32)</f>
        <v>958000</v>
      </c>
      <c r="K32" s="15">
        <f>PRODUCT('Cleaned Data'!$G32,'Cleaned Data'!$H32)</f>
        <v>940000</v>
      </c>
      <c r="L32" s="15">
        <f>('Cleaned Data'!$J32-'Cleaned Data'!$K32)</f>
        <v>18000</v>
      </c>
      <c r="M32" s="23">
        <f>('Cleaned Data'!$L32/'Cleaned Data'!$J32)</f>
        <v>1.8789144050104383E-2</v>
      </c>
      <c r="N32" s="5" t="str">
        <f>IF('Cleaned Data'!$G32&gt;10,"High-Volume","Low-Volume")</f>
        <v>Low-Volume</v>
      </c>
      <c r="O32" s="5" t="str">
        <f>IF('Cleaned Data'!$I32&gt;=100000,"Premium","Standard")</f>
        <v>Standard</v>
      </c>
      <c r="P32" s="56" t="str">
        <f>IF(Zen_Elite_Shoe_Sales[[#This Row],[Revenue]]&gt;=1000000,"Top Performer","Average Performer")</f>
        <v>Average Performer</v>
      </c>
    </row>
    <row r="33" spans="1:16" x14ac:dyDescent="0.35">
      <c r="A33" s="46">
        <v>46054</v>
      </c>
      <c r="B33" s="28" t="s">
        <v>78</v>
      </c>
      <c r="C33" s="28" t="s">
        <v>41</v>
      </c>
      <c r="D33" s="28" t="s">
        <v>16</v>
      </c>
      <c r="E33" s="28" t="s">
        <v>27</v>
      </c>
      <c r="F33" s="28" t="s">
        <v>28</v>
      </c>
      <c r="G33" s="6">
        <v>8</v>
      </c>
      <c r="H33" s="15">
        <v>109000</v>
      </c>
      <c r="I33" s="15">
        <v>110800</v>
      </c>
      <c r="J33" s="15">
        <f>PRODUCT('Cleaned Data'!$G33,'Cleaned Data'!$I33)</f>
        <v>886400</v>
      </c>
      <c r="K33" s="15">
        <f>PRODUCT('Cleaned Data'!$G33,'Cleaned Data'!$H33)</f>
        <v>872000</v>
      </c>
      <c r="L33" s="15">
        <f>('Cleaned Data'!$J33-'Cleaned Data'!$K33)</f>
        <v>14400</v>
      </c>
      <c r="M33" s="23">
        <f>('Cleaned Data'!$L33/'Cleaned Data'!$J33)</f>
        <v>1.6245487364620937E-2</v>
      </c>
      <c r="N33" s="5" t="str">
        <f>IF('Cleaned Data'!$G33&gt;10,"High-Volume","Low-Volume")</f>
        <v>Low-Volume</v>
      </c>
      <c r="O33" s="5" t="str">
        <f>IF('Cleaned Data'!$I33&gt;=100000,"Premium","Standard")</f>
        <v>Premium</v>
      </c>
      <c r="P33" s="56" t="str">
        <f>IF(Zen_Elite_Shoe_Sales[[#This Row],[Revenue]]&gt;=1000000,"Top Performer","Average Performer")</f>
        <v>Average Performer</v>
      </c>
    </row>
    <row r="34" spans="1:16" x14ac:dyDescent="0.35">
      <c r="A34" s="46">
        <v>46055</v>
      </c>
      <c r="B34" s="28" t="s">
        <v>44</v>
      </c>
      <c r="C34" s="28" t="s">
        <v>41</v>
      </c>
      <c r="D34" s="28" t="s">
        <v>21</v>
      </c>
      <c r="E34" s="28" t="s">
        <v>12</v>
      </c>
      <c r="F34" s="28" t="s">
        <v>33</v>
      </c>
      <c r="G34" s="6">
        <v>3</v>
      </c>
      <c r="H34" s="15">
        <v>129000</v>
      </c>
      <c r="I34" s="15">
        <v>130800</v>
      </c>
      <c r="J34" s="15">
        <f>PRODUCT('Cleaned Data'!$G34,'Cleaned Data'!$I34)</f>
        <v>392400</v>
      </c>
      <c r="K34" s="15">
        <f>PRODUCT('Cleaned Data'!$G34,'Cleaned Data'!$H34)</f>
        <v>387000</v>
      </c>
      <c r="L34" s="15">
        <f>('Cleaned Data'!$J34-'Cleaned Data'!$K34)</f>
        <v>5400</v>
      </c>
      <c r="M34" s="23">
        <f>('Cleaned Data'!$L34/'Cleaned Data'!$J34)</f>
        <v>1.3761467889908258E-2</v>
      </c>
      <c r="N34" s="5" t="str">
        <f>IF('Cleaned Data'!$G34&gt;10,"High-Volume","Low-Volume")</f>
        <v>Low-Volume</v>
      </c>
      <c r="O34" s="5" t="str">
        <f>IF('Cleaned Data'!$I34&gt;=100000,"Premium","Standard")</f>
        <v>Premium</v>
      </c>
      <c r="P34" s="56" t="str">
        <f>IF(Zen_Elite_Shoe_Sales[[#This Row],[Revenue]]&gt;=1000000,"Top Performer","Average Performer")</f>
        <v>Average Performer</v>
      </c>
    </row>
    <row r="35" spans="1:16" x14ac:dyDescent="0.35">
      <c r="A35" s="47">
        <v>46056</v>
      </c>
      <c r="B35" s="29" t="s">
        <v>67</v>
      </c>
      <c r="C35" s="29" t="s">
        <v>15</v>
      </c>
      <c r="D35" s="29" t="s">
        <v>26</v>
      </c>
      <c r="E35" s="29" t="s">
        <v>47</v>
      </c>
      <c r="F35" s="29" t="s">
        <v>37</v>
      </c>
      <c r="G35" s="10">
        <v>10</v>
      </c>
      <c r="H35" s="16">
        <v>69000</v>
      </c>
      <c r="I35" s="16">
        <v>75500</v>
      </c>
      <c r="J35" s="16">
        <f>PRODUCT('Cleaned Data'!$G35,'Cleaned Data'!$I35)</f>
        <v>755000</v>
      </c>
      <c r="K35" s="16">
        <f>PRODUCT('Cleaned Data'!$G35,'Cleaned Data'!$H35)</f>
        <v>690000</v>
      </c>
      <c r="L35" s="16">
        <f>('Cleaned Data'!$J35-'Cleaned Data'!$K35)</f>
        <v>65000</v>
      </c>
      <c r="M35" s="24">
        <f>('Cleaned Data'!$L35/'Cleaned Data'!$J35)</f>
        <v>8.6092715231788075E-2</v>
      </c>
      <c r="N35" s="9" t="str">
        <f>IF('Cleaned Data'!$G35&gt;10,"High-Volume","Low-Volume")</f>
        <v>Low-Volume</v>
      </c>
      <c r="O35" s="9" t="str">
        <f>IF('Cleaned Data'!$I35&gt;=100000,"Premium","Standard")</f>
        <v>Standard</v>
      </c>
      <c r="P35" s="56" t="str">
        <f>IF(Zen_Elite_Shoe_Sales[[#This Row],[Revenue]]&gt;=1000000,"Top Performer","Average Performer")</f>
        <v>Average Performer</v>
      </c>
    </row>
    <row r="36" spans="1:16" x14ac:dyDescent="0.35">
      <c r="A36" s="46">
        <v>46057</v>
      </c>
      <c r="B36" s="28" t="s">
        <v>19</v>
      </c>
      <c r="C36" s="28" t="s">
        <v>50</v>
      </c>
      <c r="D36" s="28" t="s">
        <v>31</v>
      </c>
      <c r="E36" s="28" t="s">
        <v>71</v>
      </c>
      <c r="F36" s="28" t="s">
        <v>39</v>
      </c>
      <c r="G36" s="6">
        <v>4</v>
      </c>
      <c r="H36" s="15">
        <v>49000</v>
      </c>
      <c r="I36" s="15">
        <v>54000</v>
      </c>
      <c r="J36" s="15">
        <f>PRODUCT('Cleaned Data'!$G36,'Cleaned Data'!$I36)</f>
        <v>216000</v>
      </c>
      <c r="K36" s="15">
        <f>PRODUCT('Cleaned Data'!$G36,'Cleaned Data'!$H36)</f>
        <v>196000</v>
      </c>
      <c r="L36" s="15">
        <f>('Cleaned Data'!$J36-'Cleaned Data'!$K36)</f>
        <v>20000</v>
      </c>
      <c r="M36" s="23">
        <f>('Cleaned Data'!$L36/'Cleaned Data'!$J36)</f>
        <v>9.2592592592592587E-2</v>
      </c>
      <c r="N36" s="5" t="str">
        <f>IF('Cleaned Data'!$G36&gt;10,"High-Volume","Low-Volume")</f>
        <v>Low-Volume</v>
      </c>
      <c r="O36" s="5" t="str">
        <f>IF('Cleaned Data'!$I36&gt;=100000,"Premium","Standard")</f>
        <v>Standard</v>
      </c>
      <c r="P36" s="56" t="str">
        <f>IF(Zen_Elite_Shoe_Sales[[#This Row],[Revenue]]&gt;=1000000,"Top Performer","Average Performer")</f>
        <v>Average Performer</v>
      </c>
    </row>
    <row r="37" spans="1:16" x14ac:dyDescent="0.35">
      <c r="A37" s="47">
        <v>46058</v>
      </c>
      <c r="B37" s="29" t="s">
        <v>53</v>
      </c>
      <c r="C37" s="29" t="s">
        <v>15</v>
      </c>
      <c r="D37" s="29" t="s">
        <v>11</v>
      </c>
      <c r="E37" s="29" t="s">
        <v>27</v>
      </c>
      <c r="F37" s="29" t="s">
        <v>43</v>
      </c>
      <c r="G37" s="10">
        <v>4</v>
      </c>
      <c r="H37" s="16">
        <v>59000</v>
      </c>
      <c r="I37" s="16">
        <v>65000</v>
      </c>
      <c r="J37" s="16">
        <f>PRODUCT('Cleaned Data'!$G37,'Cleaned Data'!$I37)</f>
        <v>260000</v>
      </c>
      <c r="K37" s="16">
        <f>PRODUCT('Cleaned Data'!$G37,'Cleaned Data'!$H37)</f>
        <v>236000</v>
      </c>
      <c r="L37" s="16">
        <f>('Cleaned Data'!$J37-'Cleaned Data'!$K37)</f>
        <v>24000</v>
      </c>
      <c r="M37" s="24">
        <f>('Cleaned Data'!$L37/'Cleaned Data'!$J37)</f>
        <v>9.2307692307692313E-2</v>
      </c>
      <c r="N37" s="9" t="str">
        <f>IF('Cleaned Data'!$G37&gt;10,"High-Volume","Low-Volume")</f>
        <v>Low-Volume</v>
      </c>
      <c r="O37" s="9" t="str">
        <f>IF('Cleaned Data'!$I37&gt;=100000,"Premium","Standard")</f>
        <v>Standard</v>
      </c>
      <c r="P37" s="56" t="str">
        <f>IF(Zen_Elite_Shoe_Sales[[#This Row],[Revenue]]&gt;=1000000,"Top Performer","Average Performer")</f>
        <v>Average Performer</v>
      </c>
    </row>
    <row r="38" spans="1:16" x14ac:dyDescent="0.35">
      <c r="A38" s="46">
        <v>46059</v>
      </c>
      <c r="B38" s="28" t="s">
        <v>73</v>
      </c>
      <c r="C38" s="28" t="s">
        <v>30</v>
      </c>
      <c r="D38" s="28" t="s">
        <v>16</v>
      </c>
      <c r="E38" s="28" t="s">
        <v>59</v>
      </c>
      <c r="F38" s="28" t="s">
        <v>45</v>
      </c>
      <c r="G38" s="6">
        <v>5</v>
      </c>
      <c r="H38" s="15">
        <v>72000</v>
      </c>
      <c r="I38" s="15">
        <v>75000</v>
      </c>
      <c r="J38" s="15">
        <f>PRODUCT('Cleaned Data'!$G38,'Cleaned Data'!$I38)</f>
        <v>375000</v>
      </c>
      <c r="K38" s="15">
        <f>PRODUCT('Cleaned Data'!$G38,'Cleaned Data'!$H38)</f>
        <v>360000</v>
      </c>
      <c r="L38" s="15">
        <f>('Cleaned Data'!$J38-'Cleaned Data'!$K38)</f>
        <v>15000</v>
      </c>
      <c r="M38" s="23">
        <f>('Cleaned Data'!$L38/'Cleaned Data'!$J38)</f>
        <v>0.04</v>
      </c>
      <c r="N38" s="5" t="str">
        <f>IF('Cleaned Data'!$G38&gt;10,"High-Volume","Low-Volume")</f>
        <v>Low-Volume</v>
      </c>
      <c r="O38" s="5" t="str">
        <f>IF('Cleaned Data'!$I38&gt;=100000,"Premium","Standard")</f>
        <v>Standard</v>
      </c>
      <c r="P38" s="56" t="str">
        <f>IF(Zen_Elite_Shoe_Sales[[#This Row],[Revenue]]&gt;=1000000,"Top Performer","Average Performer")</f>
        <v>Average Performer</v>
      </c>
    </row>
    <row r="39" spans="1:16" x14ac:dyDescent="0.35">
      <c r="A39" s="47">
        <v>46060</v>
      </c>
      <c r="B39" s="29" t="s">
        <v>34</v>
      </c>
      <c r="C39" s="29" t="s">
        <v>41</v>
      </c>
      <c r="D39" s="29" t="s">
        <v>21</v>
      </c>
      <c r="E39" s="29" t="s">
        <v>12</v>
      </c>
      <c r="F39" s="29" t="s">
        <v>48</v>
      </c>
      <c r="G39" s="10">
        <v>14</v>
      </c>
      <c r="H39" s="16">
        <v>120000</v>
      </c>
      <c r="I39" s="16">
        <v>121800</v>
      </c>
      <c r="J39" s="16">
        <f>PRODUCT('Cleaned Data'!$G39,'Cleaned Data'!$I39)</f>
        <v>1705200</v>
      </c>
      <c r="K39" s="16">
        <f>PRODUCT('Cleaned Data'!$G39,'Cleaned Data'!$H39)</f>
        <v>1680000</v>
      </c>
      <c r="L39" s="16">
        <f>('Cleaned Data'!$J39-'Cleaned Data'!$K39)</f>
        <v>25200</v>
      </c>
      <c r="M39" s="24">
        <f>('Cleaned Data'!$L39/'Cleaned Data'!$J39)</f>
        <v>1.4778325123152709E-2</v>
      </c>
      <c r="N39" s="9" t="str">
        <f>IF('Cleaned Data'!$G39&gt;10,"High-Volume","Low-Volume")</f>
        <v>High-Volume</v>
      </c>
      <c r="O39" s="9" t="str">
        <f>IF('Cleaned Data'!$I39&gt;=100000,"Premium","Standard")</f>
        <v>Premium</v>
      </c>
      <c r="P39" s="56" t="str">
        <f>IF(Zen_Elite_Shoe_Sales[[#This Row],[Revenue]]&gt;=1000000,"Top Performer","Average Performer")</f>
        <v>Top Performer</v>
      </c>
    </row>
    <row r="40" spans="1:16" x14ac:dyDescent="0.35">
      <c r="A40" s="46">
        <v>46061</v>
      </c>
      <c r="B40" s="28" t="s">
        <v>64</v>
      </c>
      <c r="C40" s="28" t="s">
        <v>41</v>
      </c>
      <c r="D40" s="28" t="s">
        <v>26</v>
      </c>
      <c r="E40" s="28" t="s">
        <v>12</v>
      </c>
      <c r="F40" s="28" t="s">
        <v>52</v>
      </c>
      <c r="G40" s="6">
        <v>8</v>
      </c>
      <c r="H40" s="15">
        <v>97000</v>
      </c>
      <c r="I40" s="15">
        <v>98800</v>
      </c>
      <c r="J40" s="15">
        <f>PRODUCT('Cleaned Data'!$G40,'Cleaned Data'!$I40)</f>
        <v>790400</v>
      </c>
      <c r="K40" s="15">
        <f>PRODUCT('Cleaned Data'!$G40,'Cleaned Data'!$H40)</f>
        <v>776000</v>
      </c>
      <c r="L40" s="15">
        <f>('Cleaned Data'!$J40-'Cleaned Data'!$K40)</f>
        <v>14400</v>
      </c>
      <c r="M40" s="23">
        <f>('Cleaned Data'!$L40/'Cleaned Data'!$J40)</f>
        <v>1.8218623481781375E-2</v>
      </c>
      <c r="N40" s="5" t="str">
        <f>IF('Cleaned Data'!$G40&gt;10,"High-Volume","Low-Volume")</f>
        <v>Low-Volume</v>
      </c>
      <c r="O40" s="5" t="str">
        <f>IF('Cleaned Data'!$I40&gt;=100000,"Premium","Standard")</f>
        <v>Standard</v>
      </c>
      <c r="P40" s="56" t="str">
        <f>IF(Zen_Elite_Shoe_Sales[[#This Row],[Revenue]]&gt;=1000000,"Top Performer","Average Performer")</f>
        <v>Average Performer</v>
      </c>
    </row>
    <row r="41" spans="1:16" x14ac:dyDescent="0.35">
      <c r="A41" s="47">
        <v>46062</v>
      </c>
      <c r="B41" s="29" t="s">
        <v>78</v>
      </c>
      <c r="C41" s="29" t="s">
        <v>41</v>
      </c>
      <c r="D41" s="29" t="s">
        <v>31</v>
      </c>
      <c r="E41" s="29" t="s">
        <v>27</v>
      </c>
      <c r="F41" s="29" t="s">
        <v>56</v>
      </c>
      <c r="G41" s="10">
        <v>5</v>
      </c>
      <c r="H41" s="16">
        <v>122000</v>
      </c>
      <c r="I41" s="16">
        <v>123800</v>
      </c>
      <c r="J41" s="16">
        <f>PRODUCT('Cleaned Data'!$G41,'Cleaned Data'!$I41)</f>
        <v>619000</v>
      </c>
      <c r="K41" s="16">
        <f>PRODUCT('Cleaned Data'!$G41,'Cleaned Data'!$H41)</f>
        <v>610000</v>
      </c>
      <c r="L41" s="16">
        <f>('Cleaned Data'!$J41-'Cleaned Data'!$K41)</f>
        <v>9000</v>
      </c>
      <c r="M41" s="24">
        <f>('Cleaned Data'!$L41/'Cleaned Data'!$J41)</f>
        <v>1.4539579967689823E-2</v>
      </c>
      <c r="N41" s="9" t="str">
        <f>IF('Cleaned Data'!$G41&gt;10,"High-Volume","Low-Volume")</f>
        <v>Low-Volume</v>
      </c>
      <c r="O41" s="9" t="str">
        <f>IF('Cleaned Data'!$I41&gt;=100000,"Premium","Standard")</f>
        <v>Premium</v>
      </c>
      <c r="P41" s="56" t="str">
        <f>IF(Zen_Elite_Shoe_Sales[[#This Row],[Revenue]]&gt;=1000000,"Top Performer","Average Performer")</f>
        <v>Average Performer</v>
      </c>
    </row>
    <row r="42" spans="1:16" x14ac:dyDescent="0.35">
      <c r="A42" s="46">
        <v>46063</v>
      </c>
      <c r="B42" s="28" t="s">
        <v>44</v>
      </c>
      <c r="C42" s="28" t="s">
        <v>41</v>
      </c>
      <c r="D42" s="28" t="s">
        <v>11</v>
      </c>
      <c r="E42" s="28" t="s">
        <v>12</v>
      </c>
      <c r="F42" s="28" t="s">
        <v>60</v>
      </c>
      <c r="G42" s="6">
        <v>11</v>
      </c>
      <c r="H42" s="15">
        <v>108000</v>
      </c>
      <c r="I42" s="15">
        <v>109800</v>
      </c>
      <c r="J42" s="15">
        <f>PRODUCT('Cleaned Data'!$G42,'Cleaned Data'!$I42)</f>
        <v>1207800</v>
      </c>
      <c r="K42" s="15">
        <f>PRODUCT('Cleaned Data'!$G42,'Cleaned Data'!$H42)</f>
        <v>1188000</v>
      </c>
      <c r="L42" s="15">
        <f>('Cleaned Data'!$J42-'Cleaned Data'!$K42)</f>
        <v>19800</v>
      </c>
      <c r="M42" s="23">
        <f>('Cleaned Data'!$L42/'Cleaned Data'!$J42)</f>
        <v>1.6393442622950821E-2</v>
      </c>
      <c r="N42" s="5" t="str">
        <f>IF('Cleaned Data'!$G42&gt;10,"High-Volume","Low-Volume")</f>
        <v>High-Volume</v>
      </c>
      <c r="O42" s="5" t="str">
        <f>IF('Cleaned Data'!$I42&gt;=100000,"Premium","Standard")</f>
        <v>Premium</v>
      </c>
      <c r="P42" s="56" t="str">
        <f>IF(Zen_Elite_Shoe_Sales[[#This Row],[Revenue]]&gt;=1000000,"Top Performer","Average Performer")</f>
        <v>Top Performer</v>
      </c>
    </row>
    <row r="43" spans="1:16" x14ac:dyDescent="0.35">
      <c r="A43" s="46">
        <v>46064</v>
      </c>
      <c r="B43" s="28" t="s">
        <v>67</v>
      </c>
      <c r="C43" s="28" t="s">
        <v>15</v>
      </c>
      <c r="D43" s="28" t="s">
        <v>16</v>
      </c>
      <c r="E43" s="28" t="s">
        <v>47</v>
      </c>
      <c r="F43" s="28" t="s">
        <v>63</v>
      </c>
      <c r="G43" s="6">
        <v>13</v>
      </c>
      <c r="H43" s="15">
        <v>65000</v>
      </c>
      <c r="I43" s="15">
        <v>71500</v>
      </c>
      <c r="J43" s="15">
        <f>PRODUCT('Cleaned Data'!$G43,'Cleaned Data'!$I43)</f>
        <v>929500</v>
      </c>
      <c r="K43" s="15">
        <f>PRODUCT('Cleaned Data'!$G43,'Cleaned Data'!$H43)</f>
        <v>845000</v>
      </c>
      <c r="L43" s="15">
        <f>('Cleaned Data'!$J43-'Cleaned Data'!$K43)</f>
        <v>84500</v>
      </c>
      <c r="M43" s="23">
        <f>('Cleaned Data'!$L43/'Cleaned Data'!$J43)</f>
        <v>9.0909090909090912E-2</v>
      </c>
      <c r="N43" s="5" t="str">
        <f>IF('Cleaned Data'!$G43&gt;10,"High-Volume","Low-Volume")</f>
        <v>High-Volume</v>
      </c>
      <c r="O43" s="5" t="str">
        <f>IF('Cleaned Data'!$I43&gt;=100000,"Premium","Standard")</f>
        <v>Standard</v>
      </c>
      <c r="P43" s="56" t="str">
        <f>IF(Zen_Elite_Shoe_Sales[[#This Row],[Revenue]]&gt;=1000000,"Top Performer","Average Performer")</f>
        <v>Average Performer</v>
      </c>
    </row>
    <row r="44" spans="1:16" x14ac:dyDescent="0.35">
      <c r="A44" s="46">
        <v>46065</v>
      </c>
      <c r="B44" s="28" t="s">
        <v>19</v>
      </c>
      <c r="C44" s="28" t="s">
        <v>50</v>
      </c>
      <c r="D44" s="28" t="s">
        <v>21</v>
      </c>
      <c r="E44" s="28" t="s">
        <v>71</v>
      </c>
      <c r="F44" s="28" t="s">
        <v>13</v>
      </c>
      <c r="G44" s="6">
        <v>7</v>
      </c>
      <c r="H44" s="15">
        <v>48000</v>
      </c>
      <c r="I44" s="15">
        <v>53000</v>
      </c>
      <c r="J44" s="15">
        <f>PRODUCT('Cleaned Data'!$G44,'Cleaned Data'!$I44)</f>
        <v>371000</v>
      </c>
      <c r="K44" s="15">
        <f>PRODUCT('Cleaned Data'!$G44,'Cleaned Data'!$H44)</f>
        <v>336000</v>
      </c>
      <c r="L44" s="15">
        <f>('Cleaned Data'!$J44-'Cleaned Data'!$K44)</f>
        <v>35000</v>
      </c>
      <c r="M44" s="23">
        <f>('Cleaned Data'!$L44/'Cleaned Data'!$J44)</f>
        <v>9.4339622641509441E-2</v>
      </c>
      <c r="N44" s="5" t="str">
        <f>IF('Cleaned Data'!$G44&gt;10,"High-Volume","Low-Volume")</f>
        <v>Low-Volume</v>
      </c>
      <c r="O44" s="5" t="str">
        <f>IF('Cleaned Data'!$I44&gt;=100000,"Premium","Standard")</f>
        <v>Standard</v>
      </c>
      <c r="P44" s="56" t="str">
        <f>IF(Zen_Elite_Shoe_Sales[[#This Row],[Revenue]]&gt;=1000000,"Top Performer","Average Performer")</f>
        <v>Average Performer</v>
      </c>
    </row>
    <row r="45" spans="1:16" x14ac:dyDescent="0.35">
      <c r="A45" s="46">
        <v>46066</v>
      </c>
      <c r="B45" s="28" t="s">
        <v>53</v>
      </c>
      <c r="C45" s="28" t="s">
        <v>15</v>
      </c>
      <c r="D45" s="28" t="s">
        <v>26</v>
      </c>
      <c r="E45" s="28" t="s">
        <v>27</v>
      </c>
      <c r="F45" s="28" t="s">
        <v>18</v>
      </c>
      <c r="G45" s="6">
        <v>7</v>
      </c>
      <c r="H45" s="15">
        <v>71000</v>
      </c>
      <c r="I45" s="15">
        <v>74000</v>
      </c>
      <c r="J45" s="15">
        <f>PRODUCT('Cleaned Data'!$G45,'Cleaned Data'!$I45)</f>
        <v>518000</v>
      </c>
      <c r="K45" s="15">
        <f>PRODUCT('Cleaned Data'!$G45,'Cleaned Data'!$H45)</f>
        <v>497000</v>
      </c>
      <c r="L45" s="15">
        <f>('Cleaned Data'!$J45-'Cleaned Data'!$K45)</f>
        <v>21000</v>
      </c>
      <c r="M45" s="23">
        <f>('Cleaned Data'!$L45/'Cleaned Data'!$J45)</f>
        <v>4.0540540540540543E-2</v>
      </c>
      <c r="N45" s="5" t="str">
        <f>IF('Cleaned Data'!$G45&gt;10,"High-Volume","Low-Volume")</f>
        <v>Low-Volume</v>
      </c>
      <c r="O45" s="5" t="str">
        <f>IF('Cleaned Data'!$I45&gt;=100000,"Premium","Standard")</f>
        <v>Standard</v>
      </c>
      <c r="P45" s="56" t="str">
        <f>IF(Zen_Elite_Shoe_Sales[[#This Row],[Revenue]]&gt;=1000000,"Top Performer","Average Performer")</f>
        <v>Average Performer</v>
      </c>
    </row>
    <row r="46" spans="1:16" x14ac:dyDescent="0.35">
      <c r="A46" s="46">
        <v>46067</v>
      </c>
      <c r="B46" s="28" t="s">
        <v>73</v>
      </c>
      <c r="C46" s="28" t="s">
        <v>30</v>
      </c>
      <c r="D46" s="28" t="s">
        <v>31</v>
      </c>
      <c r="E46" s="28" t="s">
        <v>59</v>
      </c>
      <c r="F46" s="28" t="s">
        <v>23</v>
      </c>
      <c r="G46" s="6">
        <v>9</v>
      </c>
      <c r="H46" s="15">
        <v>62000</v>
      </c>
      <c r="I46" s="15">
        <v>68500</v>
      </c>
      <c r="J46" s="15">
        <f>PRODUCT('Cleaned Data'!$G46,'Cleaned Data'!$I46)</f>
        <v>616500</v>
      </c>
      <c r="K46" s="15">
        <f>PRODUCT('Cleaned Data'!$G46,'Cleaned Data'!$H46)</f>
        <v>558000</v>
      </c>
      <c r="L46" s="15">
        <f>('Cleaned Data'!$J46-'Cleaned Data'!$K46)</f>
        <v>58500</v>
      </c>
      <c r="M46" s="23">
        <f>('Cleaned Data'!$L46/'Cleaned Data'!$J46)</f>
        <v>9.4890510948905105E-2</v>
      </c>
      <c r="N46" s="5" t="str">
        <f>IF('Cleaned Data'!$G46&gt;10,"High-Volume","Low-Volume")</f>
        <v>Low-Volume</v>
      </c>
      <c r="O46" s="5" t="str">
        <f>IF('Cleaned Data'!$I46&gt;=100000,"Premium","Standard")</f>
        <v>Standard</v>
      </c>
      <c r="P46" s="56" t="str">
        <f>IF(Zen_Elite_Shoe_Sales[[#This Row],[Revenue]]&gt;=1000000,"Top Performer","Average Performer")</f>
        <v>Average Performer</v>
      </c>
    </row>
    <row r="47" spans="1:16" x14ac:dyDescent="0.35">
      <c r="A47" s="46">
        <v>46068</v>
      </c>
      <c r="B47" s="28" t="s">
        <v>34</v>
      </c>
      <c r="C47" s="28" t="s">
        <v>41</v>
      </c>
      <c r="D47" s="28" t="s">
        <v>11</v>
      </c>
      <c r="E47" s="28" t="s">
        <v>12</v>
      </c>
      <c r="F47" s="28" t="s">
        <v>28</v>
      </c>
      <c r="G47" s="6">
        <v>8</v>
      </c>
      <c r="H47" s="15">
        <v>101000</v>
      </c>
      <c r="I47" s="15">
        <v>102800</v>
      </c>
      <c r="J47" s="15">
        <f>PRODUCT('Cleaned Data'!$G47,'Cleaned Data'!$I47)</f>
        <v>822400</v>
      </c>
      <c r="K47" s="15">
        <f>PRODUCT('Cleaned Data'!$G47,'Cleaned Data'!$H47)</f>
        <v>808000</v>
      </c>
      <c r="L47" s="15">
        <f>('Cleaned Data'!$J47-'Cleaned Data'!$K47)</f>
        <v>14400</v>
      </c>
      <c r="M47" s="23">
        <f>('Cleaned Data'!$L47/'Cleaned Data'!$J47)</f>
        <v>1.7509727626459144E-2</v>
      </c>
      <c r="N47" s="5" t="str">
        <f>IF('Cleaned Data'!$G47&gt;10,"High-Volume","Low-Volume")</f>
        <v>Low-Volume</v>
      </c>
      <c r="O47" s="5" t="str">
        <f>IF('Cleaned Data'!$I47&gt;=100000,"Premium","Standard")</f>
        <v>Premium</v>
      </c>
      <c r="P47" s="56" t="str">
        <f>IF(Zen_Elite_Shoe_Sales[[#This Row],[Revenue]]&gt;=1000000,"Top Performer","Average Performer")</f>
        <v>Average Performer</v>
      </c>
    </row>
    <row r="48" spans="1:16" x14ac:dyDescent="0.35">
      <c r="A48" s="46">
        <v>46069</v>
      </c>
      <c r="B48" s="28" t="s">
        <v>64</v>
      </c>
      <c r="C48" s="28" t="s">
        <v>41</v>
      </c>
      <c r="D48" s="28" t="s">
        <v>16</v>
      </c>
      <c r="E48" s="28" t="s">
        <v>12</v>
      </c>
      <c r="F48" s="28" t="s">
        <v>33</v>
      </c>
      <c r="G48" s="6">
        <v>3</v>
      </c>
      <c r="H48" s="15">
        <v>104000</v>
      </c>
      <c r="I48" s="15">
        <v>105800</v>
      </c>
      <c r="J48" s="15">
        <f>PRODUCT('Cleaned Data'!$G48,'Cleaned Data'!$I48)</f>
        <v>317400</v>
      </c>
      <c r="K48" s="15">
        <f>PRODUCT('Cleaned Data'!$G48,'Cleaned Data'!$H48)</f>
        <v>312000</v>
      </c>
      <c r="L48" s="15">
        <f>('Cleaned Data'!$J48-'Cleaned Data'!$K48)</f>
        <v>5400</v>
      </c>
      <c r="M48" s="23">
        <f>('Cleaned Data'!$L48/'Cleaned Data'!$J48)</f>
        <v>1.7013232514177693E-2</v>
      </c>
      <c r="N48" s="5" t="str">
        <f>IF('Cleaned Data'!$G48&gt;10,"High-Volume","Low-Volume")</f>
        <v>Low-Volume</v>
      </c>
      <c r="O48" s="5" t="str">
        <f>IF('Cleaned Data'!$I48&gt;=100000,"Premium","Standard")</f>
        <v>Premium</v>
      </c>
      <c r="P48" s="56" t="str">
        <f>IF(Zen_Elite_Shoe_Sales[[#This Row],[Revenue]]&gt;=1000000,"Top Performer","Average Performer")</f>
        <v>Average Performer</v>
      </c>
    </row>
    <row r="49" spans="1:16" x14ac:dyDescent="0.35">
      <c r="A49" s="47">
        <v>46070</v>
      </c>
      <c r="B49" s="29" t="s">
        <v>78</v>
      </c>
      <c r="C49" s="29" t="s">
        <v>41</v>
      </c>
      <c r="D49" s="29" t="s">
        <v>21</v>
      </c>
      <c r="E49" s="29" t="s">
        <v>27</v>
      </c>
      <c r="F49" s="29" t="s">
        <v>37</v>
      </c>
      <c r="G49" s="10">
        <v>14</v>
      </c>
      <c r="H49" s="16">
        <v>119000</v>
      </c>
      <c r="I49" s="16">
        <v>120800</v>
      </c>
      <c r="J49" s="16">
        <f>PRODUCT('Cleaned Data'!$G49,'Cleaned Data'!$I49)</f>
        <v>1691200</v>
      </c>
      <c r="K49" s="16">
        <f>PRODUCT('Cleaned Data'!$G49,'Cleaned Data'!$H49)</f>
        <v>1666000</v>
      </c>
      <c r="L49" s="16">
        <f>('Cleaned Data'!$J49-'Cleaned Data'!$K49)</f>
        <v>25200</v>
      </c>
      <c r="M49" s="24">
        <f>('Cleaned Data'!$L49/'Cleaned Data'!$J49)</f>
        <v>1.4900662251655629E-2</v>
      </c>
      <c r="N49" s="9" t="str">
        <f>IF('Cleaned Data'!$G49&gt;10,"High-Volume","Low-Volume")</f>
        <v>High-Volume</v>
      </c>
      <c r="O49" s="9" t="str">
        <f>IF('Cleaned Data'!$I49&gt;=100000,"Premium","Standard")</f>
        <v>Premium</v>
      </c>
      <c r="P49" s="56" t="str">
        <f>IF(Zen_Elite_Shoe_Sales[[#This Row],[Revenue]]&gt;=1000000,"Top Performer","Average Performer")</f>
        <v>Top Performer</v>
      </c>
    </row>
    <row r="50" spans="1:16" x14ac:dyDescent="0.35">
      <c r="A50" s="46">
        <v>46071</v>
      </c>
      <c r="B50" s="28" t="s">
        <v>44</v>
      </c>
      <c r="C50" s="28" t="s">
        <v>41</v>
      </c>
      <c r="D50" s="28" t="s">
        <v>26</v>
      </c>
      <c r="E50" s="28" t="s">
        <v>12</v>
      </c>
      <c r="F50" s="28" t="s">
        <v>39</v>
      </c>
      <c r="G50" s="6">
        <v>14</v>
      </c>
      <c r="H50" s="15">
        <v>121000</v>
      </c>
      <c r="I50" s="15">
        <v>122800</v>
      </c>
      <c r="J50" s="15">
        <f>PRODUCT('Cleaned Data'!$G50,'Cleaned Data'!$I50)</f>
        <v>1719200</v>
      </c>
      <c r="K50" s="15">
        <f>PRODUCT('Cleaned Data'!$G50,'Cleaned Data'!$H50)</f>
        <v>1694000</v>
      </c>
      <c r="L50" s="15">
        <f>('Cleaned Data'!$J50-'Cleaned Data'!$K50)</f>
        <v>25200</v>
      </c>
      <c r="M50" s="23">
        <f>('Cleaned Data'!$L50/'Cleaned Data'!$J50)</f>
        <v>1.4657980456026058E-2</v>
      </c>
      <c r="N50" s="5" t="str">
        <f>IF('Cleaned Data'!$G50&gt;10,"High-Volume","Low-Volume")</f>
        <v>High-Volume</v>
      </c>
      <c r="O50" s="5" t="str">
        <f>IF('Cleaned Data'!$I50&gt;=100000,"Premium","Standard")</f>
        <v>Premium</v>
      </c>
      <c r="P50" s="56" t="str">
        <f>IF(Zen_Elite_Shoe_Sales[[#This Row],[Revenue]]&gt;=1000000,"Top Performer","Average Performer")</f>
        <v>Top Performer</v>
      </c>
    </row>
    <row r="51" spans="1:16" x14ac:dyDescent="0.35">
      <c r="A51" s="47">
        <v>46072</v>
      </c>
      <c r="B51" s="29" t="s">
        <v>67</v>
      </c>
      <c r="C51" s="29" t="s">
        <v>15</v>
      </c>
      <c r="D51" s="29" t="s">
        <v>31</v>
      </c>
      <c r="E51" s="29" t="s">
        <v>47</v>
      </c>
      <c r="F51" s="29" t="s">
        <v>43</v>
      </c>
      <c r="G51" s="10">
        <v>3</v>
      </c>
      <c r="H51" s="16">
        <v>69000</v>
      </c>
      <c r="I51" s="16">
        <v>75500</v>
      </c>
      <c r="J51" s="16">
        <f>PRODUCT('Cleaned Data'!$G51,'Cleaned Data'!$I51)</f>
        <v>226500</v>
      </c>
      <c r="K51" s="16">
        <f>PRODUCT('Cleaned Data'!$G51,'Cleaned Data'!$H51)</f>
        <v>207000</v>
      </c>
      <c r="L51" s="16">
        <f>('Cleaned Data'!$J51-'Cleaned Data'!$K51)</f>
        <v>19500</v>
      </c>
      <c r="M51" s="24">
        <f>('Cleaned Data'!$L51/'Cleaned Data'!$J51)</f>
        <v>8.6092715231788075E-2</v>
      </c>
      <c r="N51" s="9" t="str">
        <f>IF('Cleaned Data'!$G51&gt;10,"High-Volume","Low-Volume")</f>
        <v>Low-Volume</v>
      </c>
      <c r="O51" s="9" t="str">
        <f>IF('Cleaned Data'!$I51&gt;=100000,"Premium","Standard")</f>
        <v>Standard</v>
      </c>
      <c r="P51" s="56" t="str">
        <f>IF(Zen_Elite_Shoe_Sales[[#This Row],[Revenue]]&gt;=1000000,"Top Performer","Average Performer")</f>
        <v>Average Performer</v>
      </c>
    </row>
    <row r="52" spans="1:16" x14ac:dyDescent="0.35">
      <c r="A52" s="46">
        <v>46073</v>
      </c>
      <c r="B52" s="28" t="s">
        <v>19</v>
      </c>
      <c r="C52" s="28" t="s">
        <v>50</v>
      </c>
      <c r="D52" s="28" t="s">
        <v>11</v>
      </c>
      <c r="E52" s="28" t="s">
        <v>71</v>
      </c>
      <c r="F52" s="28" t="s">
        <v>45</v>
      </c>
      <c r="G52" s="6">
        <v>14</v>
      </c>
      <c r="H52" s="15">
        <v>48000</v>
      </c>
      <c r="I52" s="15">
        <v>53000</v>
      </c>
      <c r="J52" s="15">
        <f>PRODUCT('Cleaned Data'!$G52,'Cleaned Data'!$I52)</f>
        <v>742000</v>
      </c>
      <c r="K52" s="15">
        <f>PRODUCT('Cleaned Data'!$G52,'Cleaned Data'!$H52)</f>
        <v>672000</v>
      </c>
      <c r="L52" s="15">
        <f>('Cleaned Data'!$J52-'Cleaned Data'!$K52)</f>
        <v>70000</v>
      </c>
      <c r="M52" s="23">
        <f>('Cleaned Data'!$L52/'Cleaned Data'!$J52)</f>
        <v>9.4339622641509441E-2</v>
      </c>
      <c r="N52" s="5" t="str">
        <f>IF('Cleaned Data'!$G52&gt;10,"High-Volume","Low-Volume")</f>
        <v>High-Volume</v>
      </c>
      <c r="O52" s="5" t="str">
        <f>IF('Cleaned Data'!$I52&gt;=100000,"Premium","Standard")</f>
        <v>Standard</v>
      </c>
      <c r="P52" s="56" t="str">
        <f>IF(Zen_Elite_Shoe_Sales[[#This Row],[Revenue]]&gt;=1000000,"Top Performer","Average Performer")</f>
        <v>Average Performer</v>
      </c>
    </row>
    <row r="53" spans="1:16" x14ac:dyDescent="0.35">
      <c r="A53" s="47">
        <v>46074</v>
      </c>
      <c r="B53" s="29" t="s">
        <v>53</v>
      </c>
      <c r="C53" s="29" t="s">
        <v>15</v>
      </c>
      <c r="D53" s="29" t="s">
        <v>16</v>
      </c>
      <c r="E53" s="29" t="s">
        <v>27</v>
      </c>
      <c r="F53" s="29" t="s">
        <v>48</v>
      </c>
      <c r="G53" s="10">
        <v>6</v>
      </c>
      <c r="H53" s="16">
        <v>70000</v>
      </c>
      <c r="I53" s="16">
        <v>76500</v>
      </c>
      <c r="J53" s="16">
        <f>PRODUCT('Cleaned Data'!$G53,'Cleaned Data'!$I53)</f>
        <v>459000</v>
      </c>
      <c r="K53" s="16">
        <f>PRODUCT('Cleaned Data'!$G53,'Cleaned Data'!$H53)</f>
        <v>420000</v>
      </c>
      <c r="L53" s="16">
        <f>('Cleaned Data'!$J53-'Cleaned Data'!$K53)</f>
        <v>39000</v>
      </c>
      <c r="M53" s="24">
        <f>('Cleaned Data'!$L53/'Cleaned Data'!$J53)</f>
        <v>8.4967320261437912E-2</v>
      </c>
      <c r="N53" s="9" t="str">
        <f>IF('Cleaned Data'!$G53&gt;10,"High-Volume","Low-Volume")</f>
        <v>Low-Volume</v>
      </c>
      <c r="O53" s="9" t="str">
        <f>IF('Cleaned Data'!$I53&gt;=100000,"Premium","Standard")</f>
        <v>Standard</v>
      </c>
      <c r="P53" s="56" t="str">
        <f>IF(Zen_Elite_Shoe_Sales[[#This Row],[Revenue]]&gt;=1000000,"Top Performer","Average Performer")</f>
        <v>Average Performer</v>
      </c>
    </row>
    <row r="54" spans="1:16" x14ac:dyDescent="0.35">
      <c r="A54" s="46">
        <v>46075</v>
      </c>
      <c r="B54" s="28" t="s">
        <v>73</v>
      </c>
      <c r="C54" s="28" t="s">
        <v>30</v>
      </c>
      <c r="D54" s="28" t="s">
        <v>21</v>
      </c>
      <c r="E54" s="28" t="s">
        <v>59</v>
      </c>
      <c r="F54" s="28" t="s">
        <v>52</v>
      </c>
      <c r="G54" s="6">
        <v>7</v>
      </c>
      <c r="H54" s="15">
        <v>76000</v>
      </c>
      <c r="I54" s="15">
        <v>79000</v>
      </c>
      <c r="J54" s="15">
        <f>PRODUCT('Cleaned Data'!$G54,'Cleaned Data'!$I54)</f>
        <v>553000</v>
      </c>
      <c r="K54" s="15">
        <f>PRODUCT('Cleaned Data'!$G54,'Cleaned Data'!$H54)</f>
        <v>532000</v>
      </c>
      <c r="L54" s="15">
        <f>('Cleaned Data'!$J54-'Cleaned Data'!$K54)</f>
        <v>21000</v>
      </c>
      <c r="M54" s="23">
        <f>('Cleaned Data'!$L54/'Cleaned Data'!$J54)</f>
        <v>3.7974683544303799E-2</v>
      </c>
      <c r="N54" s="5" t="str">
        <f>IF('Cleaned Data'!$G54&gt;10,"High-Volume","Low-Volume")</f>
        <v>Low-Volume</v>
      </c>
      <c r="O54" s="5" t="str">
        <f>IF('Cleaned Data'!$I54&gt;=100000,"Premium","Standard")</f>
        <v>Standard</v>
      </c>
      <c r="P54" s="56" t="str">
        <f>IF(Zen_Elite_Shoe_Sales[[#This Row],[Revenue]]&gt;=1000000,"Top Performer","Average Performer")</f>
        <v>Average Performer</v>
      </c>
    </row>
    <row r="55" spans="1:16" x14ac:dyDescent="0.35">
      <c r="A55" s="47">
        <v>46076</v>
      </c>
      <c r="B55" s="29" t="s">
        <v>34</v>
      </c>
      <c r="C55" s="29" t="s">
        <v>41</v>
      </c>
      <c r="D55" s="29" t="s">
        <v>26</v>
      </c>
      <c r="E55" s="29" t="s">
        <v>12</v>
      </c>
      <c r="F55" s="29" t="s">
        <v>56</v>
      </c>
      <c r="G55" s="10">
        <v>15</v>
      </c>
      <c r="H55" s="16">
        <v>112000</v>
      </c>
      <c r="I55" s="16">
        <v>113800</v>
      </c>
      <c r="J55" s="16">
        <f>PRODUCT('Cleaned Data'!$G55,'Cleaned Data'!$I55)</f>
        <v>1707000</v>
      </c>
      <c r="K55" s="16">
        <f>PRODUCT('Cleaned Data'!$G55,'Cleaned Data'!$H55)</f>
        <v>1680000</v>
      </c>
      <c r="L55" s="16">
        <f>('Cleaned Data'!$J55-'Cleaned Data'!$K55)</f>
        <v>27000</v>
      </c>
      <c r="M55" s="24">
        <f>('Cleaned Data'!$L55/'Cleaned Data'!$J55)</f>
        <v>1.5817223198594025E-2</v>
      </c>
      <c r="N55" s="9" t="str">
        <f>IF('Cleaned Data'!$G55&gt;10,"High-Volume","Low-Volume")</f>
        <v>High-Volume</v>
      </c>
      <c r="O55" s="9" t="str">
        <f>IF('Cleaned Data'!$I55&gt;=100000,"Premium","Standard")</f>
        <v>Premium</v>
      </c>
      <c r="P55" s="56" t="str">
        <f>IF(Zen_Elite_Shoe_Sales[[#This Row],[Revenue]]&gt;=1000000,"Top Performer","Average Performer")</f>
        <v>Top Performer</v>
      </c>
    </row>
    <row r="56" spans="1:16" x14ac:dyDescent="0.35">
      <c r="A56" s="46">
        <v>46077</v>
      </c>
      <c r="B56" s="28" t="s">
        <v>64</v>
      </c>
      <c r="C56" s="28" t="s">
        <v>41</v>
      </c>
      <c r="D56" s="28" t="s">
        <v>31</v>
      </c>
      <c r="E56" s="28" t="s">
        <v>12</v>
      </c>
      <c r="F56" s="28" t="s">
        <v>60</v>
      </c>
      <c r="G56" s="6">
        <v>5</v>
      </c>
      <c r="H56" s="15">
        <v>101000</v>
      </c>
      <c r="I56" s="15">
        <v>102800</v>
      </c>
      <c r="J56" s="15">
        <f>PRODUCT('Cleaned Data'!$G56,'Cleaned Data'!$I56)</f>
        <v>514000</v>
      </c>
      <c r="K56" s="15">
        <f>PRODUCT('Cleaned Data'!$G56,'Cleaned Data'!$H56)</f>
        <v>505000</v>
      </c>
      <c r="L56" s="15">
        <f>('Cleaned Data'!$J56-'Cleaned Data'!$K56)</f>
        <v>9000</v>
      </c>
      <c r="M56" s="23">
        <f>('Cleaned Data'!$L56/'Cleaned Data'!$J56)</f>
        <v>1.7509727626459144E-2</v>
      </c>
      <c r="N56" s="5" t="str">
        <f>IF('Cleaned Data'!$G56&gt;10,"High-Volume","Low-Volume")</f>
        <v>Low-Volume</v>
      </c>
      <c r="O56" s="5" t="str">
        <f>IF('Cleaned Data'!$I56&gt;=100000,"Premium","Standard")</f>
        <v>Premium</v>
      </c>
      <c r="P56" s="56" t="str">
        <f>IF(Zen_Elite_Shoe_Sales[[#This Row],[Revenue]]&gt;=1000000,"Top Performer","Average Performer")</f>
        <v>Average Performer</v>
      </c>
    </row>
    <row r="57" spans="1:16" x14ac:dyDescent="0.35">
      <c r="A57" s="47">
        <v>46078</v>
      </c>
      <c r="B57" s="29" t="s">
        <v>78</v>
      </c>
      <c r="C57" s="29" t="s">
        <v>41</v>
      </c>
      <c r="D57" s="29" t="s">
        <v>11</v>
      </c>
      <c r="E57" s="29" t="s">
        <v>27</v>
      </c>
      <c r="F57" s="29" t="s">
        <v>63</v>
      </c>
      <c r="G57" s="10">
        <v>12</v>
      </c>
      <c r="H57" s="16">
        <v>138000</v>
      </c>
      <c r="I57" s="16">
        <v>139800</v>
      </c>
      <c r="J57" s="16">
        <f>PRODUCT('Cleaned Data'!$G57,'Cleaned Data'!$I57)</f>
        <v>1677600</v>
      </c>
      <c r="K57" s="16">
        <f>PRODUCT('Cleaned Data'!$G57,'Cleaned Data'!$H57)</f>
        <v>1656000</v>
      </c>
      <c r="L57" s="16">
        <f>('Cleaned Data'!$J57-'Cleaned Data'!$K57)</f>
        <v>21600</v>
      </c>
      <c r="M57" s="24">
        <f>('Cleaned Data'!$L57/'Cleaned Data'!$J57)</f>
        <v>1.2875536480686695E-2</v>
      </c>
      <c r="N57" s="9" t="str">
        <f>IF('Cleaned Data'!$G57&gt;10,"High-Volume","Low-Volume")</f>
        <v>High-Volume</v>
      </c>
      <c r="O57" s="9" t="str">
        <f>IF('Cleaned Data'!$I57&gt;=100000,"Premium","Standard")</f>
        <v>Premium</v>
      </c>
      <c r="P57" s="56" t="str">
        <f>IF(Zen_Elite_Shoe_Sales[[#This Row],[Revenue]]&gt;=1000000,"Top Performer","Average Performer")</f>
        <v>Top Performer</v>
      </c>
    </row>
    <row r="58" spans="1:16" x14ac:dyDescent="0.35">
      <c r="A58" s="46">
        <v>46079</v>
      </c>
      <c r="B58" s="28" t="s">
        <v>44</v>
      </c>
      <c r="C58" s="28" t="s">
        <v>41</v>
      </c>
      <c r="D58" s="28" t="s">
        <v>16</v>
      </c>
      <c r="E58" s="28" t="s">
        <v>12</v>
      </c>
      <c r="F58" s="28" t="s">
        <v>13</v>
      </c>
      <c r="G58" s="6">
        <v>7</v>
      </c>
      <c r="H58" s="15">
        <v>132000</v>
      </c>
      <c r="I58" s="15">
        <v>133800</v>
      </c>
      <c r="J58" s="15">
        <f>PRODUCT('Cleaned Data'!$G58,'Cleaned Data'!$I58)</f>
        <v>936600</v>
      </c>
      <c r="K58" s="15">
        <f>PRODUCT('Cleaned Data'!$G58,'Cleaned Data'!$H58)</f>
        <v>924000</v>
      </c>
      <c r="L58" s="15">
        <f>('Cleaned Data'!$J58-'Cleaned Data'!$K58)</f>
        <v>12600</v>
      </c>
      <c r="M58" s="23">
        <f>('Cleaned Data'!$L58/'Cleaned Data'!$J58)</f>
        <v>1.3452914798206279E-2</v>
      </c>
      <c r="N58" s="5" t="str">
        <f>IF('Cleaned Data'!$G58&gt;10,"High-Volume","Low-Volume")</f>
        <v>Low-Volume</v>
      </c>
      <c r="O58" s="5" t="str">
        <f>IF('Cleaned Data'!$I58&gt;=100000,"Premium","Standard")</f>
        <v>Premium</v>
      </c>
      <c r="P58" s="56" t="str">
        <f>IF(Zen_Elite_Shoe_Sales[[#This Row],[Revenue]]&gt;=1000000,"Top Performer","Average Performer")</f>
        <v>Average Performer</v>
      </c>
    </row>
    <row r="59" spans="1:16" x14ac:dyDescent="0.35">
      <c r="A59" s="47">
        <v>46080</v>
      </c>
      <c r="B59" s="29" t="s">
        <v>67</v>
      </c>
      <c r="C59" s="29" t="s">
        <v>15</v>
      </c>
      <c r="D59" s="29" t="s">
        <v>21</v>
      </c>
      <c r="E59" s="29" t="s">
        <v>47</v>
      </c>
      <c r="F59" s="29" t="s">
        <v>18</v>
      </c>
      <c r="G59" s="10">
        <v>13</v>
      </c>
      <c r="H59" s="16">
        <v>66000</v>
      </c>
      <c r="I59" s="16">
        <v>72500</v>
      </c>
      <c r="J59" s="16">
        <f>PRODUCT('Cleaned Data'!$G59,'Cleaned Data'!$I59)</f>
        <v>942500</v>
      </c>
      <c r="K59" s="16">
        <f>PRODUCT('Cleaned Data'!$G59,'Cleaned Data'!$H59)</f>
        <v>858000</v>
      </c>
      <c r="L59" s="16">
        <f>('Cleaned Data'!$J59-'Cleaned Data'!$K59)</f>
        <v>84500</v>
      </c>
      <c r="M59" s="24">
        <f>('Cleaned Data'!$L59/'Cleaned Data'!$J59)</f>
        <v>8.9655172413793102E-2</v>
      </c>
      <c r="N59" s="9" t="str">
        <f>IF('Cleaned Data'!$G59&gt;10,"High-Volume","Low-Volume")</f>
        <v>High-Volume</v>
      </c>
      <c r="O59" s="9" t="str">
        <f>IF('Cleaned Data'!$I59&gt;=100000,"Premium","Standard")</f>
        <v>Standard</v>
      </c>
      <c r="P59" s="56" t="str">
        <f>IF(Zen_Elite_Shoe_Sales[[#This Row],[Revenue]]&gt;=1000000,"Top Performer","Average Performer")</f>
        <v>Average Performer</v>
      </c>
    </row>
    <row r="60" spans="1:16" x14ac:dyDescent="0.35">
      <c r="A60" s="46">
        <v>46081</v>
      </c>
      <c r="B60" s="28" t="s">
        <v>19</v>
      </c>
      <c r="C60" s="28" t="s">
        <v>50</v>
      </c>
      <c r="D60" s="28" t="s">
        <v>26</v>
      </c>
      <c r="E60" s="28" t="s">
        <v>71</v>
      </c>
      <c r="F60" s="28" t="s">
        <v>23</v>
      </c>
      <c r="G60" s="6">
        <v>5</v>
      </c>
      <c r="H60" s="15">
        <v>40000</v>
      </c>
      <c r="I60" s="15">
        <v>45000</v>
      </c>
      <c r="J60" s="15">
        <f>PRODUCT('Cleaned Data'!$G60,'Cleaned Data'!$I60)</f>
        <v>225000</v>
      </c>
      <c r="K60" s="15">
        <f>PRODUCT('Cleaned Data'!$G60,'Cleaned Data'!$H60)</f>
        <v>200000</v>
      </c>
      <c r="L60" s="15">
        <f>('Cleaned Data'!$J60-'Cleaned Data'!$K60)</f>
        <v>25000</v>
      </c>
      <c r="M60" s="23">
        <f>('Cleaned Data'!$L60/'Cleaned Data'!$J60)</f>
        <v>0.1111111111111111</v>
      </c>
      <c r="N60" s="5" t="str">
        <f>IF('Cleaned Data'!$G60&gt;10,"High-Volume","Low-Volume")</f>
        <v>Low-Volume</v>
      </c>
      <c r="O60" s="5" t="str">
        <f>IF('Cleaned Data'!$I60&gt;=100000,"Premium","Standard")</f>
        <v>Standard</v>
      </c>
      <c r="P60" s="56" t="str">
        <f>IF(Zen_Elite_Shoe_Sales[[#This Row],[Revenue]]&gt;=1000000,"Top Performer","Average Performer")</f>
        <v>Average Performer</v>
      </c>
    </row>
    <row r="61" spans="1:16" x14ac:dyDescent="0.35">
      <c r="A61" s="47">
        <v>46082</v>
      </c>
      <c r="B61" s="29" t="s">
        <v>53</v>
      </c>
      <c r="C61" s="29" t="s">
        <v>15</v>
      </c>
      <c r="D61" s="29" t="s">
        <v>31</v>
      </c>
      <c r="E61" s="29" t="s">
        <v>27</v>
      </c>
      <c r="F61" s="29" t="s">
        <v>28</v>
      </c>
      <c r="G61" s="10">
        <v>13</v>
      </c>
      <c r="H61" s="16">
        <v>60000</v>
      </c>
      <c r="I61" s="16">
        <v>66000</v>
      </c>
      <c r="J61" s="16">
        <f>PRODUCT('Cleaned Data'!$G61,'Cleaned Data'!$I61)</f>
        <v>858000</v>
      </c>
      <c r="K61" s="16">
        <f>PRODUCT('Cleaned Data'!$G61,'Cleaned Data'!$H61)</f>
        <v>780000</v>
      </c>
      <c r="L61" s="16">
        <f>('Cleaned Data'!$J61-'Cleaned Data'!$K61)</f>
        <v>78000</v>
      </c>
      <c r="M61" s="24">
        <f>('Cleaned Data'!$L61/'Cleaned Data'!$J61)</f>
        <v>9.0909090909090912E-2</v>
      </c>
      <c r="N61" s="9" t="str">
        <f>IF('Cleaned Data'!$G61&gt;10,"High-Volume","Low-Volume")</f>
        <v>High-Volume</v>
      </c>
      <c r="O61" s="9" t="str">
        <f>IF('Cleaned Data'!$I61&gt;=100000,"Premium","Standard")</f>
        <v>Standard</v>
      </c>
      <c r="P61" s="56" t="str">
        <f>IF(Zen_Elite_Shoe_Sales[[#This Row],[Revenue]]&gt;=1000000,"Top Performer","Average Performer")</f>
        <v>Average Performer</v>
      </c>
    </row>
    <row r="62" spans="1:16" x14ac:dyDescent="0.35">
      <c r="A62" s="46">
        <v>46083</v>
      </c>
      <c r="B62" s="28" t="s">
        <v>73</v>
      </c>
      <c r="C62" s="28" t="s">
        <v>30</v>
      </c>
      <c r="D62" s="28" t="s">
        <v>11</v>
      </c>
      <c r="E62" s="28" t="s">
        <v>59</v>
      </c>
      <c r="F62" s="28" t="s">
        <v>33</v>
      </c>
      <c r="G62" s="6">
        <v>15</v>
      </c>
      <c r="H62" s="15">
        <v>71000</v>
      </c>
      <c r="I62" s="15">
        <v>74000</v>
      </c>
      <c r="J62" s="15">
        <f>PRODUCT('Cleaned Data'!$G62,'Cleaned Data'!$I62)</f>
        <v>1110000</v>
      </c>
      <c r="K62" s="15">
        <f>PRODUCT('Cleaned Data'!$G62,'Cleaned Data'!$H62)</f>
        <v>1065000</v>
      </c>
      <c r="L62" s="15">
        <f>('Cleaned Data'!$J62-'Cleaned Data'!$K62)</f>
        <v>45000</v>
      </c>
      <c r="M62" s="23">
        <f>('Cleaned Data'!$L62/'Cleaned Data'!$J62)</f>
        <v>4.0540540540540543E-2</v>
      </c>
      <c r="N62" s="5" t="str">
        <f>IF('Cleaned Data'!$G62&gt;10,"High-Volume","Low-Volume")</f>
        <v>High-Volume</v>
      </c>
      <c r="O62" s="5" t="str">
        <f>IF('Cleaned Data'!$I62&gt;=100000,"Premium","Standard")</f>
        <v>Standard</v>
      </c>
      <c r="P62" s="56" t="str">
        <f>IF(Zen_Elite_Shoe_Sales[[#This Row],[Revenue]]&gt;=1000000,"Top Performer","Average Performer")</f>
        <v>Top Performer</v>
      </c>
    </row>
    <row r="63" spans="1:16" x14ac:dyDescent="0.35">
      <c r="A63" s="47">
        <v>46084</v>
      </c>
      <c r="B63" s="29" t="s">
        <v>34</v>
      </c>
      <c r="C63" s="29" t="s">
        <v>41</v>
      </c>
      <c r="D63" s="29" t="s">
        <v>16</v>
      </c>
      <c r="E63" s="29" t="s">
        <v>12</v>
      </c>
      <c r="F63" s="29" t="s">
        <v>37</v>
      </c>
      <c r="G63" s="10">
        <v>11</v>
      </c>
      <c r="H63" s="16">
        <v>108000</v>
      </c>
      <c r="I63" s="16">
        <v>109800</v>
      </c>
      <c r="J63" s="16">
        <f>PRODUCT('Cleaned Data'!$G63,'Cleaned Data'!$I63)</f>
        <v>1207800</v>
      </c>
      <c r="K63" s="16">
        <f>PRODUCT('Cleaned Data'!$G63,'Cleaned Data'!$H63)</f>
        <v>1188000</v>
      </c>
      <c r="L63" s="16">
        <f>('Cleaned Data'!$J63-'Cleaned Data'!$K63)</f>
        <v>19800</v>
      </c>
      <c r="M63" s="24">
        <f>('Cleaned Data'!$L63/'Cleaned Data'!$J63)</f>
        <v>1.6393442622950821E-2</v>
      </c>
      <c r="N63" s="9" t="str">
        <f>IF('Cleaned Data'!$G63&gt;10,"High-Volume","Low-Volume")</f>
        <v>High-Volume</v>
      </c>
      <c r="O63" s="9" t="str">
        <f>IF('Cleaned Data'!$I63&gt;=100000,"Premium","Standard")</f>
        <v>Premium</v>
      </c>
      <c r="P63" s="56" t="str">
        <f>IF(Zen_Elite_Shoe_Sales[[#This Row],[Revenue]]&gt;=1000000,"Top Performer","Average Performer")</f>
        <v>Top Performer</v>
      </c>
    </row>
    <row r="64" spans="1:16" x14ac:dyDescent="0.35">
      <c r="A64" s="46">
        <v>46085</v>
      </c>
      <c r="B64" s="28" t="s">
        <v>64</v>
      </c>
      <c r="C64" s="28" t="s">
        <v>41</v>
      </c>
      <c r="D64" s="28" t="s">
        <v>21</v>
      </c>
      <c r="E64" s="28" t="s">
        <v>12</v>
      </c>
      <c r="F64" s="28" t="s">
        <v>39</v>
      </c>
      <c r="G64" s="6">
        <v>11</v>
      </c>
      <c r="H64" s="15">
        <v>110000</v>
      </c>
      <c r="I64" s="15">
        <v>111800</v>
      </c>
      <c r="J64" s="15">
        <f>PRODUCT('Cleaned Data'!$G64,'Cleaned Data'!$I64)</f>
        <v>1229800</v>
      </c>
      <c r="K64" s="15">
        <f>PRODUCT('Cleaned Data'!$G64,'Cleaned Data'!$H64)</f>
        <v>1210000</v>
      </c>
      <c r="L64" s="15">
        <f>('Cleaned Data'!$J64-'Cleaned Data'!$K64)</f>
        <v>19800</v>
      </c>
      <c r="M64" s="23">
        <f>('Cleaned Data'!$L64/'Cleaned Data'!$J64)</f>
        <v>1.6100178890876567E-2</v>
      </c>
      <c r="N64" s="5" t="str">
        <f>IF('Cleaned Data'!$G64&gt;10,"High-Volume","Low-Volume")</f>
        <v>High-Volume</v>
      </c>
      <c r="O64" s="5" t="str">
        <f>IF('Cleaned Data'!$I64&gt;=100000,"Premium","Standard")</f>
        <v>Premium</v>
      </c>
      <c r="P64" s="56" t="str">
        <f>IF(Zen_Elite_Shoe_Sales[[#This Row],[Revenue]]&gt;=1000000,"Top Performer","Average Performer")</f>
        <v>Top Performer</v>
      </c>
    </row>
    <row r="65" spans="1:16" x14ac:dyDescent="0.35">
      <c r="A65" s="47">
        <v>46086</v>
      </c>
      <c r="B65" s="29" t="s">
        <v>78</v>
      </c>
      <c r="C65" s="29" t="s">
        <v>41</v>
      </c>
      <c r="D65" s="29" t="s">
        <v>26</v>
      </c>
      <c r="E65" s="29" t="s">
        <v>27</v>
      </c>
      <c r="F65" s="29" t="s">
        <v>43</v>
      </c>
      <c r="G65" s="10">
        <v>7</v>
      </c>
      <c r="H65" s="16">
        <v>135000</v>
      </c>
      <c r="I65" s="16">
        <v>136800</v>
      </c>
      <c r="J65" s="16">
        <f>PRODUCT('Cleaned Data'!$G65,'Cleaned Data'!$I65)</f>
        <v>957600</v>
      </c>
      <c r="K65" s="16">
        <f>PRODUCT('Cleaned Data'!$G65,'Cleaned Data'!$H65)</f>
        <v>945000</v>
      </c>
      <c r="L65" s="16">
        <f>('Cleaned Data'!$J65-'Cleaned Data'!$K65)</f>
        <v>12600</v>
      </c>
      <c r="M65" s="24">
        <f>('Cleaned Data'!$L65/'Cleaned Data'!$J65)</f>
        <v>1.3157894736842105E-2</v>
      </c>
      <c r="N65" s="9" t="str">
        <f>IF('Cleaned Data'!$G65&gt;10,"High-Volume","Low-Volume")</f>
        <v>Low-Volume</v>
      </c>
      <c r="O65" s="9" t="str">
        <f>IF('Cleaned Data'!$I65&gt;=100000,"Premium","Standard")</f>
        <v>Premium</v>
      </c>
      <c r="P65" s="56" t="str">
        <f>IF(Zen_Elite_Shoe_Sales[[#This Row],[Revenue]]&gt;=1000000,"Top Performer","Average Performer")</f>
        <v>Average Performer</v>
      </c>
    </row>
    <row r="66" spans="1:16" x14ac:dyDescent="0.35">
      <c r="A66" s="46">
        <v>46087</v>
      </c>
      <c r="B66" s="28" t="s">
        <v>44</v>
      </c>
      <c r="C66" s="28" t="s">
        <v>41</v>
      </c>
      <c r="D66" s="28" t="s">
        <v>31</v>
      </c>
      <c r="E66" s="28" t="s">
        <v>12</v>
      </c>
      <c r="F66" s="28" t="s">
        <v>45</v>
      </c>
      <c r="G66" s="6">
        <v>8</v>
      </c>
      <c r="H66" s="15">
        <v>133000</v>
      </c>
      <c r="I66" s="15">
        <v>134800</v>
      </c>
      <c r="J66" s="15">
        <f>PRODUCT('Cleaned Data'!$G66,'Cleaned Data'!$I66)</f>
        <v>1078400</v>
      </c>
      <c r="K66" s="15">
        <f>PRODUCT('Cleaned Data'!$G66,'Cleaned Data'!$H66)</f>
        <v>1064000</v>
      </c>
      <c r="L66" s="15">
        <f>('Cleaned Data'!$J66-'Cleaned Data'!$K66)</f>
        <v>14400</v>
      </c>
      <c r="M66" s="23">
        <f>('Cleaned Data'!$L66/'Cleaned Data'!$J66)</f>
        <v>1.3353115727002967E-2</v>
      </c>
      <c r="N66" s="5" t="str">
        <f>IF('Cleaned Data'!$G66&gt;10,"High-Volume","Low-Volume")</f>
        <v>Low-Volume</v>
      </c>
      <c r="O66" s="5" t="str">
        <f>IF('Cleaned Data'!$I66&gt;=100000,"Premium","Standard")</f>
        <v>Premium</v>
      </c>
      <c r="P66" s="56" t="str">
        <f>IF(Zen_Elite_Shoe_Sales[[#This Row],[Revenue]]&gt;=1000000,"Top Performer","Average Performer")</f>
        <v>Top Performer</v>
      </c>
    </row>
    <row r="67" spans="1:16" x14ac:dyDescent="0.35">
      <c r="A67" s="47">
        <v>46088</v>
      </c>
      <c r="B67" s="29" t="s">
        <v>67</v>
      </c>
      <c r="C67" s="29" t="s">
        <v>15</v>
      </c>
      <c r="D67" s="29" t="s">
        <v>11</v>
      </c>
      <c r="E67" s="29" t="s">
        <v>47</v>
      </c>
      <c r="F67" s="29" t="s">
        <v>48</v>
      </c>
      <c r="G67" s="10">
        <v>7</v>
      </c>
      <c r="H67" s="16">
        <v>52000</v>
      </c>
      <c r="I67" s="16">
        <v>58000</v>
      </c>
      <c r="J67" s="16">
        <f>PRODUCT('Cleaned Data'!$G67,'Cleaned Data'!$I67)</f>
        <v>406000</v>
      </c>
      <c r="K67" s="16">
        <f>PRODUCT('Cleaned Data'!$G67,'Cleaned Data'!$H67)</f>
        <v>364000</v>
      </c>
      <c r="L67" s="16">
        <f>('Cleaned Data'!$J67-'Cleaned Data'!$K67)</f>
        <v>42000</v>
      </c>
      <c r="M67" s="24">
        <f>('Cleaned Data'!$L67/'Cleaned Data'!$J67)</f>
        <v>0.10344827586206896</v>
      </c>
      <c r="N67" s="9" t="str">
        <f>IF('Cleaned Data'!$G67&gt;10,"High-Volume","Low-Volume")</f>
        <v>Low-Volume</v>
      </c>
      <c r="O67" s="9" t="str">
        <f>IF('Cleaned Data'!$I67&gt;=100000,"Premium","Standard")</f>
        <v>Standard</v>
      </c>
      <c r="P67" s="56" t="str">
        <f>IF(Zen_Elite_Shoe_Sales[[#This Row],[Revenue]]&gt;=1000000,"Top Performer","Average Performer")</f>
        <v>Average Performer</v>
      </c>
    </row>
    <row r="68" spans="1:16" x14ac:dyDescent="0.35">
      <c r="A68" s="46">
        <v>46089</v>
      </c>
      <c r="B68" s="28" t="s">
        <v>19</v>
      </c>
      <c r="C68" s="28" t="s">
        <v>50</v>
      </c>
      <c r="D68" s="28" t="s">
        <v>16</v>
      </c>
      <c r="E68" s="28" t="s">
        <v>71</v>
      </c>
      <c r="F68" s="28" t="s">
        <v>52</v>
      </c>
      <c r="G68" s="6">
        <v>5</v>
      </c>
      <c r="H68" s="15">
        <v>43000</v>
      </c>
      <c r="I68" s="15">
        <v>48000</v>
      </c>
      <c r="J68" s="15">
        <f>PRODUCT('Cleaned Data'!$G68,'Cleaned Data'!$I68)</f>
        <v>240000</v>
      </c>
      <c r="K68" s="15">
        <f>PRODUCT('Cleaned Data'!$G68,'Cleaned Data'!$H68)</f>
        <v>215000</v>
      </c>
      <c r="L68" s="15">
        <f>('Cleaned Data'!$J68-'Cleaned Data'!$K68)</f>
        <v>25000</v>
      </c>
      <c r="M68" s="23">
        <f>('Cleaned Data'!$L68/'Cleaned Data'!$J68)</f>
        <v>0.10416666666666667</v>
      </c>
      <c r="N68" s="5" t="str">
        <f>IF('Cleaned Data'!$G68&gt;10,"High-Volume","Low-Volume")</f>
        <v>Low-Volume</v>
      </c>
      <c r="O68" s="5" t="str">
        <f>IF('Cleaned Data'!$I68&gt;=100000,"Premium","Standard")</f>
        <v>Standard</v>
      </c>
      <c r="P68" s="56" t="str">
        <f>IF(Zen_Elite_Shoe_Sales[[#This Row],[Revenue]]&gt;=1000000,"Top Performer","Average Performer")</f>
        <v>Average Performer</v>
      </c>
    </row>
    <row r="69" spans="1:16" x14ac:dyDescent="0.35">
      <c r="A69" s="47">
        <v>46090</v>
      </c>
      <c r="B69" s="29" t="s">
        <v>53</v>
      </c>
      <c r="C69" s="29" t="s">
        <v>15</v>
      </c>
      <c r="D69" s="29" t="s">
        <v>21</v>
      </c>
      <c r="E69" s="29" t="s">
        <v>27</v>
      </c>
      <c r="F69" s="29" t="s">
        <v>56</v>
      </c>
      <c r="G69" s="10">
        <v>14</v>
      </c>
      <c r="H69" s="16">
        <v>54000</v>
      </c>
      <c r="I69" s="16">
        <v>60000</v>
      </c>
      <c r="J69" s="16">
        <f>PRODUCT('Cleaned Data'!$G69,'Cleaned Data'!$I69)</f>
        <v>840000</v>
      </c>
      <c r="K69" s="16">
        <f>PRODUCT('Cleaned Data'!$G69,'Cleaned Data'!$H69)</f>
        <v>756000</v>
      </c>
      <c r="L69" s="16">
        <f>('Cleaned Data'!$J69-'Cleaned Data'!$K69)</f>
        <v>84000</v>
      </c>
      <c r="M69" s="24">
        <f>('Cleaned Data'!$L69/'Cleaned Data'!$J69)</f>
        <v>0.1</v>
      </c>
      <c r="N69" s="9" t="str">
        <f>IF('Cleaned Data'!$G69&gt;10,"High-Volume","Low-Volume")</f>
        <v>High-Volume</v>
      </c>
      <c r="O69" s="9" t="str">
        <f>IF('Cleaned Data'!$I69&gt;=100000,"Premium","Standard")</f>
        <v>Standard</v>
      </c>
      <c r="P69" s="56" t="str">
        <f>IF(Zen_Elite_Shoe_Sales[[#This Row],[Revenue]]&gt;=1000000,"Top Performer","Average Performer")</f>
        <v>Average Performer</v>
      </c>
    </row>
    <row r="70" spans="1:16" x14ac:dyDescent="0.35">
      <c r="A70" s="46">
        <v>46091</v>
      </c>
      <c r="B70" s="28" t="s">
        <v>73</v>
      </c>
      <c r="C70" s="28" t="s">
        <v>30</v>
      </c>
      <c r="D70" s="28" t="s">
        <v>26</v>
      </c>
      <c r="E70" s="28" t="s">
        <v>59</v>
      </c>
      <c r="F70" s="28" t="s">
        <v>60</v>
      </c>
      <c r="G70" s="6">
        <v>11</v>
      </c>
      <c r="H70" s="15">
        <v>74000</v>
      </c>
      <c r="I70" s="15">
        <v>77000</v>
      </c>
      <c r="J70" s="15">
        <f>PRODUCT('Cleaned Data'!$G70,'Cleaned Data'!$I70)</f>
        <v>847000</v>
      </c>
      <c r="K70" s="15">
        <f>PRODUCT('Cleaned Data'!$G70,'Cleaned Data'!$H70)</f>
        <v>814000</v>
      </c>
      <c r="L70" s="15">
        <f>('Cleaned Data'!$J70-'Cleaned Data'!$K70)</f>
        <v>33000</v>
      </c>
      <c r="M70" s="23">
        <f>('Cleaned Data'!$L70/'Cleaned Data'!$J70)</f>
        <v>3.896103896103896E-2</v>
      </c>
      <c r="N70" s="5" t="str">
        <f>IF('Cleaned Data'!$G70&gt;10,"High-Volume","Low-Volume")</f>
        <v>High-Volume</v>
      </c>
      <c r="O70" s="5" t="str">
        <f>IF('Cleaned Data'!$I70&gt;=100000,"Premium","Standard")</f>
        <v>Standard</v>
      </c>
      <c r="P70" s="56" t="str">
        <f>IF(Zen_Elite_Shoe_Sales[[#This Row],[Revenue]]&gt;=1000000,"Top Performer","Average Performer")</f>
        <v>Average Performer</v>
      </c>
    </row>
    <row r="71" spans="1:16" x14ac:dyDescent="0.35">
      <c r="A71" s="47">
        <v>46092</v>
      </c>
      <c r="B71" s="29" t="s">
        <v>34</v>
      </c>
      <c r="C71" s="29" t="s">
        <v>41</v>
      </c>
      <c r="D71" s="29" t="s">
        <v>31</v>
      </c>
      <c r="E71" s="29" t="s">
        <v>12</v>
      </c>
      <c r="F71" s="29" t="s">
        <v>63</v>
      </c>
      <c r="G71" s="10">
        <v>11</v>
      </c>
      <c r="H71" s="16">
        <v>89000</v>
      </c>
      <c r="I71" s="16">
        <v>90800</v>
      </c>
      <c r="J71" s="16">
        <f>PRODUCT('Cleaned Data'!$G71,'Cleaned Data'!$I71)</f>
        <v>998800</v>
      </c>
      <c r="K71" s="16">
        <f>PRODUCT('Cleaned Data'!$G71,'Cleaned Data'!$H71)</f>
        <v>979000</v>
      </c>
      <c r="L71" s="16">
        <f>('Cleaned Data'!$J71-'Cleaned Data'!$K71)</f>
        <v>19800</v>
      </c>
      <c r="M71" s="24">
        <f>('Cleaned Data'!$L71/'Cleaned Data'!$J71)</f>
        <v>1.9823788546255508E-2</v>
      </c>
      <c r="N71" s="9" t="str">
        <f>IF('Cleaned Data'!$G71&gt;10,"High-Volume","Low-Volume")</f>
        <v>High-Volume</v>
      </c>
      <c r="O71" s="9" t="str">
        <f>IF('Cleaned Data'!$I71&gt;=100000,"Premium","Standard")</f>
        <v>Standard</v>
      </c>
      <c r="P71" s="56" t="str">
        <f>IF(Zen_Elite_Shoe_Sales[[#This Row],[Revenue]]&gt;=1000000,"Top Performer","Average Performer")</f>
        <v>Average Performer</v>
      </c>
    </row>
    <row r="72" spans="1:16" x14ac:dyDescent="0.35">
      <c r="A72" s="46">
        <v>46093</v>
      </c>
      <c r="B72" s="28" t="s">
        <v>64</v>
      </c>
      <c r="C72" s="28" t="s">
        <v>41</v>
      </c>
      <c r="D72" s="28" t="s">
        <v>11</v>
      </c>
      <c r="E72" s="28" t="s">
        <v>12</v>
      </c>
      <c r="F72" s="28" t="s">
        <v>13</v>
      </c>
      <c r="G72" s="6">
        <v>4</v>
      </c>
      <c r="H72" s="15">
        <v>115000</v>
      </c>
      <c r="I72" s="15">
        <v>116800</v>
      </c>
      <c r="J72" s="15">
        <f>PRODUCT('Cleaned Data'!$G72,'Cleaned Data'!$I72)</f>
        <v>467200</v>
      </c>
      <c r="K72" s="15">
        <f>PRODUCT('Cleaned Data'!$G72,'Cleaned Data'!$H72)</f>
        <v>460000</v>
      </c>
      <c r="L72" s="15">
        <f>('Cleaned Data'!$J72-'Cleaned Data'!$K72)</f>
        <v>7200</v>
      </c>
      <c r="M72" s="23">
        <f>('Cleaned Data'!$L72/'Cleaned Data'!$J72)</f>
        <v>1.5410958904109588E-2</v>
      </c>
      <c r="N72" s="5" t="str">
        <f>IF('Cleaned Data'!$G72&gt;10,"High-Volume","Low-Volume")</f>
        <v>Low-Volume</v>
      </c>
      <c r="O72" s="5" t="str">
        <f>IF('Cleaned Data'!$I72&gt;=100000,"Premium","Standard")</f>
        <v>Premium</v>
      </c>
      <c r="P72" s="56" t="str">
        <f>IF(Zen_Elite_Shoe_Sales[[#This Row],[Revenue]]&gt;=1000000,"Top Performer","Average Performer")</f>
        <v>Average Performer</v>
      </c>
    </row>
    <row r="73" spans="1:16" x14ac:dyDescent="0.35">
      <c r="A73" s="47">
        <v>46094</v>
      </c>
      <c r="B73" s="29" t="s">
        <v>78</v>
      </c>
      <c r="C73" s="29" t="s">
        <v>41</v>
      </c>
      <c r="D73" s="29" t="s">
        <v>16</v>
      </c>
      <c r="E73" s="29" t="s">
        <v>27</v>
      </c>
      <c r="F73" s="29" t="s">
        <v>18</v>
      </c>
      <c r="G73" s="10">
        <v>4</v>
      </c>
      <c r="H73" s="16">
        <v>125000</v>
      </c>
      <c r="I73" s="16">
        <v>126800</v>
      </c>
      <c r="J73" s="16">
        <f>PRODUCT('Cleaned Data'!$G73,'Cleaned Data'!$I73)</f>
        <v>507200</v>
      </c>
      <c r="K73" s="16">
        <f>PRODUCT('Cleaned Data'!$G73,'Cleaned Data'!$H73)</f>
        <v>500000</v>
      </c>
      <c r="L73" s="16">
        <f>('Cleaned Data'!$J73-'Cleaned Data'!$K73)</f>
        <v>7200</v>
      </c>
      <c r="M73" s="24">
        <f>('Cleaned Data'!$L73/'Cleaned Data'!$J73)</f>
        <v>1.4195583596214511E-2</v>
      </c>
      <c r="N73" s="9" t="str">
        <f>IF('Cleaned Data'!$G73&gt;10,"High-Volume","Low-Volume")</f>
        <v>Low-Volume</v>
      </c>
      <c r="O73" s="9" t="str">
        <f>IF('Cleaned Data'!$I73&gt;=100000,"Premium","Standard")</f>
        <v>Premium</v>
      </c>
      <c r="P73" s="56" t="str">
        <f>IF(Zen_Elite_Shoe_Sales[[#This Row],[Revenue]]&gt;=1000000,"Top Performer","Average Performer")</f>
        <v>Average Performer</v>
      </c>
    </row>
    <row r="74" spans="1:16" x14ac:dyDescent="0.35">
      <c r="A74" s="46">
        <v>46095</v>
      </c>
      <c r="B74" s="28" t="s">
        <v>44</v>
      </c>
      <c r="C74" s="28" t="s">
        <v>41</v>
      </c>
      <c r="D74" s="28" t="s">
        <v>21</v>
      </c>
      <c r="E74" s="28" t="s">
        <v>12</v>
      </c>
      <c r="F74" s="28" t="s">
        <v>23</v>
      </c>
      <c r="G74" s="6">
        <v>9</v>
      </c>
      <c r="H74" s="15">
        <v>100000</v>
      </c>
      <c r="I74" s="15">
        <v>101800</v>
      </c>
      <c r="J74" s="15">
        <f>PRODUCT('Cleaned Data'!$G74,'Cleaned Data'!$I74)</f>
        <v>916200</v>
      </c>
      <c r="K74" s="15">
        <f>PRODUCT('Cleaned Data'!$G74,'Cleaned Data'!$H74)</f>
        <v>900000</v>
      </c>
      <c r="L74" s="15">
        <f>('Cleaned Data'!$J74-'Cleaned Data'!$K74)</f>
        <v>16200</v>
      </c>
      <c r="M74" s="23">
        <f>('Cleaned Data'!$L74/'Cleaned Data'!$J74)</f>
        <v>1.768172888015717E-2</v>
      </c>
      <c r="N74" s="5" t="str">
        <f>IF('Cleaned Data'!$G74&gt;10,"High-Volume","Low-Volume")</f>
        <v>Low-Volume</v>
      </c>
      <c r="O74" s="5" t="str">
        <f>IF('Cleaned Data'!$I74&gt;=100000,"Premium","Standard")</f>
        <v>Premium</v>
      </c>
      <c r="P74" s="56" t="str">
        <f>IF(Zen_Elite_Shoe_Sales[[#This Row],[Revenue]]&gt;=1000000,"Top Performer","Average Performer")</f>
        <v>Average Performer</v>
      </c>
    </row>
    <row r="75" spans="1:16" x14ac:dyDescent="0.35">
      <c r="A75" s="47">
        <v>46096</v>
      </c>
      <c r="B75" s="29" t="s">
        <v>67</v>
      </c>
      <c r="C75" s="29" t="s">
        <v>15</v>
      </c>
      <c r="D75" s="29" t="s">
        <v>26</v>
      </c>
      <c r="E75" s="29" t="s">
        <v>47</v>
      </c>
      <c r="F75" s="29" t="s">
        <v>28</v>
      </c>
      <c r="G75" s="10">
        <v>10</v>
      </c>
      <c r="H75" s="16">
        <v>69000</v>
      </c>
      <c r="I75" s="16">
        <v>75500</v>
      </c>
      <c r="J75" s="16">
        <f>PRODUCT('Cleaned Data'!$G75,'Cleaned Data'!$I75)</f>
        <v>755000</v>
      </c>
      <c r="K75" s="16">
        <f>PRODUCT('Cleaned Data'!$G75,'Cleaned Data'!$H75)</f>
        <v>690000</v>
      </c>
      <c r="L75" s="16">
        <f>('Cleaned Data'!$J75-'Cleaned Data'!$K75)</f>
        <v>65000</v>
      </c>
      <c r="M75" s="24">
        <f>('Cleaned Data'!$L75/'Cleaned Data'!$J75)</f>
        <v>8.6092715231788075E-2</v>
      </c>
      <c r="N75" s="9" t="str">
        <f>IF('Cleaned Data'!$G75&gt;10,"High-Volume","Low-Volume")</f>
        <v>Low-Volume</v>
      </c>
      <c r="O75" s="9" t="str">
        <f>IF('Cleaned Data'!$I75&gt;=100000,"Premium","Standard")</f>
        <v>Standard</v>
      </c>
      <c r="P75" s="56" t="str">
        <f>IF(Zen_Elite_Shoe_Sales[[#This Row],[Revenue]]&gt;=1000000,"Top Performer","Average Performer")</f>
        <v>Average Performer</v>
      </c>
    </row>
    <row r="76" spans="1:16" x14ac:dyDescent="0.35">
      <c r="A76" s="46">
        <v>46097</v>
      </c>
      <c r="B76" s="28" t="s">
        <v>19</v>
      </c>
      <c r="C76" s="28" t="s">
        <v>50</v>
      </c>
      <c r="D76" s="28" t="s">
        <v>31</v>
      </c>
      <c r="E76" s="28" t="s">
        <v>71</v>
      </c>
      <c r="F76" s="28" t="s">
        <v>33</v>
      </c>
      <c r="G76" s="6">
        <v>6</v>
      </c>
      <c r="H76" s="15">
        <v>41000</v>
      </c>
      <c r="I76" s="15">
        <v>46000</v>
      </c>
      <c r="J76" s="15">
        <f>PRODUCT('Cleaned Data'!$G76,'Cleaned Data'!$I76)</f>
        <v>276000</v>
      </c>
      <c r="K76" s="15">
        <f>PRODUCT('Cleaned Data'!$G76,'Cleaned Data'!$H76)</f>
        <v>246000</v>
      </c>
      <c r="L76" s="15">
        <f>('Cleaned Data'!$J76-'Cleaned Data'!$K76)</f>
        <v>30000</v>
      </c>
      <c r="M76" s="23">
        <f>('Cleaned Data'!$L76/'Cleaned Data'!$J76)</f>
        <v>0.10869565217391304</v>
      </c>
      <c r="N76" s="5" t="str">
        <f>IF('Cleaned Data'!$G76&gt;10,"High-Volume","Low-Volume")</f>
        <v>Low-Volume</v>
      </c>
      <c r="O76" s="5" t="str">
        <f>IF('Cleaned Data'!$I76&gt;=100000,"Premium","Standard")</f>
        <v>Standard</v>
      </c>
      <c r="P76" s="56" t="str">
        <f>IF(Zen_Elite_Shoe_Sales[[#This Row],[Revenue]]&gt;=1000000,"Top Performer","Average Performer")</f>
        <v>Average Performer</v>
      </c>
    </row>
    <row r="77" spans="1:16" x14ac:dyDescent="0.35">
      <c r="A77" s="47">
        <v>46098</v>
      </c>
      <c r="B77" s="29" t="s">
        <v>53</v>
      </c>
      <c r="C77" s="29" t="s">
        <v>15</v>
      </c>
      <c r="D77" s="29" t="s">
        <v>11</v>
      </c>
      <c r="E77" s="29" t="s">
        <v>27</v>
      </c>
      <c r="F77" s="29" t="s">
        <v>37</v>
      </c>
      <c r="G77" s="10">
        <v>10</v>
      </c>
      <c r="H77" s="16">
        <v>55000</v>
      </c>
      <c r="I77" s="16">
        <v>61000</v>
      </c>
      <c r="J77" s="16">
        <f>PRODUCT('Cleaned Data'!$G77,'Cleaned Data'!$I77)</f>
        <v>610000</v>
      </c>
      <c r="K77" s="16">
        <f>PRODUCT('Cleaned Data'!$G77,'Cleaned Data'!$H77)</f>
        <v>550000</v>
      </c>
      <c r="L77" s="16">
        <f>('Cleaned Data'!$J77-'Cleaned Data'!$K77)</f>
        <v>60000</v>
      </c>
      <c r="M77" s="24">
        <f>('Cleaned Data'!$L77/'Cleaned Data'!$J77)</f>
        <v>9.8360655737704916E-2</v>
      </c>
      <c r="N77" s="9" t="str">
        <f>IF('Cleaned Data'!$G77&gt;10,"High-Volume","Low-Volume")</f>
        <v>Low-Volume</v>
      </c>
      <c r="O77" s="9" t="str">
        <f>IF('Cleaned Data'!$I77&gt;=100000,"Premium","Standard")</f>
        <v>Standard</v>
      </c>
      <c r="P77" s="56" t="str">
        <f>IF(Zen_Elite_Shoe_Sales[[#This Row],[Revenue]]&gt;=1000000,"Top Performer","Average Performer")</f>
        <v>Average Performer</v>
      </c>
    </row>
    <row r="78" spans="1:16" x14ac:dyDescent="0.35">
      <c r="A78" s="46">
        <v>46099</v>
      </c>
      <c r="B78" s="28" t="s">
        <v>73</v>
      </c>
      <c r="C78" s="28" t="s">
        <v>30</v>
      </c>
      <c r="D78" s="28" t="s">
        <v>16</v>
      </c>
      <c r="E78" s="28" t="s">
        <v>59</v>
      </c>
      <c r="F78" s="28" t="s">
        <v>39</v>
      </c>
      <c r="G78" s="6">
        <v>4</v>
      </c>
      <c r="H78" s="15">
        <v>67000</v>
      </c>
      <c r="I78" s="15">
        <v>73500</v>
      </c>
      <c r="J78" s="15">
        <f>PRODUCT('Cleaned Data'!$G78,'Cleaned Data'!$I78)</f>
        <v>294000</v>
      </c>
      <c r="K78" s="15">
        <f>PRODUCT('Cleaned Data'!$G78,'Cleaned Data'!$H78)</f>
        <v>268000</v>
      </c>
      <c r="L78" s="15">
        <f>('Cleaned Data'!$J78-'Cleaned Data'!$K78)</f>
        <v>26000</v>
      </c>
      <c r="M78" s="23">
        <f>('Cleaned Data'!$L78/'Cleaned Data'!$J78)</f>
        <v>8.8435374149659865E-2</v>
      </c>
      <c r="N78" s="5" t="str">
        <f>IF('Cleaned Data'!$G78&gt;10,"High-Volume","Low-Volume")</f>
        <v>Low-Volume</v>
      </c>
      <c r="O78" s="5" t="str">
        <f>IF('Cleaned Data'!$I78&gt;=100000,"Premium","Standard")</f>
        <v>Standard</v>
      </c>
      <c r="P78" s="56" t="str">
        <f>IF(Zen_Elite_Shoe_Sales[[#This Row],[Revenue]]&gt;=1000000,"Top Performer","Average Performer")</f>
        <v>Average Performer</v>
      </c>
    </row>
    <row r="79" spans="1:16" x14ac:dyDescent="0.35">
      <c r="A79" s="47">
        <v>46100</v>
      </c>
      <c r="B79" s="29" t="s">
        <v>34</v>
      </c>
      <c r="C79" s="29" t="s">
        <v>41</v>
      </c>
      <c r="D79" s="29" t="s">
        <v>21</v>
      </c>
      <c r="E79" s="29" t="s">
        <v>12</v>
      </c>
      <c r="F79" s="29" t="s">
        <v>43</v>
      </c>
      <c r="G79" s="10">
        <v>15</v>
      </c>
      <c r="H79" s="16">
        <v>107000</v>
      </c>
      <c r="I79" s="16">
        <v>108800</v>
      </c>
      <c r="J79" s="16">
        <f>PRODUCT('Cleaned Data'!$G79,'Cleaned Data'!$I79)</f>
        <v>1632000</v>
      </c>
      <c r="K79" s="16">
        <f>PRODUCT('Cleaned Data'!$G79,'Cleaned Data'!$H79)</f>
        <v>1605000</v>
      </c>
      <c r="L79" s="16">
        <f>('Cleaned Data'!$J79-'Cleaned Data'!$K79)</f>
        <v>27000</v>
      </c>
      <c r="M79" s="24">
        <f>('Cleaned Data'!$L79/'Cleaned Data'!$J79)</f>
        <v>1.6544117647058824E-2</v>
      </c>
      <c r="N79" s="9" t="str">
        <f>IF('Cleaned Data'!$G79&gt;10,"High-Volume","Low-Volume")</f>
        <v>High-Volume</v>
      </c>
      <c r="O79" s="9" t="str">
        <f>IF('Cleaned Data'!$I79&gt;=100000,"Premium","Standard")</f>
        <v>Premium</v>
      </c>
      <c r="P79" s="56" t="str">
        <f>IF(Zen_Elite_Shoe_Sales[[#This Row],[Revenue]]&gt;=1000000,"Top Performer","Average Performer")</f>
        <v>Top Performer</v>
      </c>
    </row>
    <row r="80" spans="1:16" x14ac:dyDescent="0.35">
      <c r="A80" s="46">
        <v>46101</v>
      </c>
      <c r="B80" s="28" t="s">
        <v>64</v>
      </c>
      <c r="C80" s="28" t="s">
        <v>41</v>
      </c>
      <c r="D80" s="28" t="s">
        <v>26</v>
      </c>
      <c r="E80" s="28" t="s">
        <v>12</v>
      </c>
      <c r="F80" s="28" t="s">
        <v>45</v>
      </c>
      <c r="G80" s="6">
        <v>12</v>
      </c>
      <c r="H80" s="15">
        <v>110000</v>
      </c>
      <c r="I80" s="15">
        <v>111800</v>
      </c>
      <c r="J80" s="15">
        <f>PRODUCT('Cleaned Data'!$G80,'Cleaned Data'!$I80)</f>
        <v>1341600</v>
      </c>
      <c r="K80" s="15">
        <f>PRODUCT('Cleaned Data'!$G80,'Cleaned Data'!$H80)</f>
        <v>1320000</v>
      </c>
      <c r="L80" s="15">
        <f>('Cleaned Data'!$J80-'Cleaned Data'!$K80)</f>
        <v>21600</v>
      </c>
      <c r="M80" s="23">
        <f>('Cleaned Data'!$L80/'Cleaned Data'!$J80)</f>
        <v>1.6100178890876567E-2</v>
      </c>
      <c r="N80" s="5" t="str">
        <f>IF('Cleaned Data'!$G80&gt;10,"High-Volume","Low-Volume")</f>
        <v>High-Volume</v>
      </c>
      <c r="O80" s="5" t="str">
        <f>IF('Cleaned Data'!$I80&gt;=100000,"Premium","Standard")</f>
        <v>Premium</v>
      </c>
      <c r="P80" s="56" t="str">
        <f>IF(Zen_Elite_Shoe_Sales[[#This Row],[Revenue]]&gt;=1000000,"Top Performer","Average Performer")</f>
        <v>Top Performer</v>
      </c>
    </row>
    <row r="81" spans="1:16" x14ac:dyDescent="0.35">
      <c r="A81" s="47">
        <v>46102</v>
      </c>
      <c r="B81" s="29" t="s">
        <v>78</v>
      </c>
      <c r="C81" s="29" t="s">
        <v>41</v>
      </c>
      <c r="D81" s="29" t="s">
        <v>31</v>
      </c>
      <c r="E81" s="29" t="s">
        <v>27</v>
      </c>
      <c r="F81" s="29" t="s">
        <v>48</v>
      </c>
      <c r="G81" s="10">
        <v>4</v>
      </c>
      <c r="H81" s="16">
        <v>136000</v>
      </c>
      <c r="I81" s="16">
        <v>137800</v>
      </c>
      <c r="J81" s="16">
        <f>PRODUCT('Cleaned Data'!$G81,'Cleaned Data'!$I81)</f>
        <v>551200</v>
      </c>
      <c r="K81" s="16">
        <f>PRODUCT('Cleaned Data'!$G81,'Cleaned Data'!$H81)</f>
        <v>544000</v>
      </c>
      <c r="L81" s="16">
        <f>('Cleaned Data'!$J81-'Cleaned Data'!$K81)</f>
        <v>7200</v>
      </c>
      <c r="M81" s="24">
        <f>('Cleaned Data'!$L81/'Cleaned Data'!$J81)</f>
        <v>1.3062409288824383E-2</v>
      </c>
      <c r="N81" s="9" t="str">
        <f>IF('Cleaned Data'!$G81&gt;10,"High-Volume","Low-Volume")</f>
        <v>Low-Volume</v>
      </c>
      <c r="O81" s="9" t="str">
        <f>IF('Cleaned Data'!$I81&gt;=100000,"Premium","Standard")</f>
        <v>Premium</v>
      </c>
      <c r="P81" s="56" t="str">
        <f>IF(Zen_Elite_Shoe_Sales[[#This Row],[Revenue]]&gt;=1000000,"Top Performer","Average Performer")</f>
        <v>Average Performer</v>
      </c>
    </row>
    <row r="82" spans="1:16" x14ac:dyDescent="0.35">
      <c r="A82" s="46">
        <v>46103</v>
      </c>
      <c r="B82" s="28" t="s">
        <v>44</v>
      </c>
      <c r="C82" s="28" t="s">
        <v>41</v>
      </c>
      <c r="D82" s="28" t="s">
        <v>11</v>
      </c>
      <c r="E82" s="28" t="s">
        <v>12</v>
      </c>
      <c r="F82" s="28" t="s">
        <v>52</v>
      </c>
      <c r="G82" s="6">
        <v>13</v>
      </c>
      <c r="H82" s="15">
        <v>114000</v>
      </c>
      <c r="I82" s="15">
        <v>115800</v>
      </c>
      <c r="J82" s="15">
        <f>PRODUCT('Cleaned Data'!$G82,'Cleaned Data'!$I82)</f>
        <v>1505400</v>
      </c>
      <c r="K82" s="15">
        <f>PRODUCT('Cleaned Data'!$G82,'Cleaned Data'!$H82)</f>
        <v>1482000</v>
      </c>
      <c r="L82" s="15">
        <f>('Cleaned Data'!$J82-'Cleaned Data'!$K82)</f>
        <v>23400</v>
      </c>
      <c r="M82" s="23">
        <f>('Cleaned Data'!$L82/'Cleaned Data'!$J82)</f>
        <v>1.5544041450777202E-2</v>
      </c>
      <c r="N82" s="5" t="str">
        <f>IF('Cleaned Data'!$G82&gt;10,"High-Volume","Low-Volume")</f>
        <v>High-Volume</v>
      </c>
      <c r="O82" s="5" t="str">
        <f>IF('Cleaned Data'!$I82&gt;=100000,"Premium","Standard")</f>
        <v>Premium</v>
      </c>
      <c r="P82" s="56" t="str">
        <f>IF(Zen_Elite_Shoe_Sales[[#This Row],[Revenue]]&gt;=1000000,"Top Performer","Average Performer")</f>
        <v>Top Performer</v>
      </c>
    </row>
    <row r="83" spans="1:16" x14ac:dyDescent="0.35">
      <c r="A83" s="46">
        <v>46104</v>
      </c>
      <c r="B83" s="28" t="s">
        <v>67</v>
      </c>
      <c r="C83" s="28" t="s">
        <v>15</v>
      </c>
      <c r="D83" s="28" t="s">
        <v>16</v>
      </c>
      <c r="E83" s="28" t="s">
        <v>47</v>
      </c>
      <c r="F83" s="28" t="s">
        <v>56</v>
      </c>
      <c r="G83" s="6">
        <v>12</v>
      </c>
      <c r="H83" s="15">
        <v>63000</v>
      </c>
      <c r="I83" s="15">
        <v>69500</v>
      </c>
      <c r="J83" s="15">
        <f>PRODUCT('Cleaned Data'!$G83,'Cleaned Data'!$I83)</f>
        <v>834000</v>
      </c>
      <c r="K83" s="15">
        <f>PRODUCT('Cleaned Data'!$G83,'Cleaned Data'!$H83)</f>
        <v>756000</v>
      </c>
      <c r="L83" s="15">
        <f>('Cleaned Data'!$J83-'Cleaned Data'!$K83)</f>
        <v>78000</v>
      </c>
      <c r="M83" s="23">
        <f>('Cleaned Data'!$L83/'Cleaned Data'!$J83)</f>
        <v>9.3525179856115109E-2</v>
      </c>
      <c r="N83" s="5" t="str">
        <f>IF('Cleaned Data'!$G83&gt;10,"High-Volume","Low-Volume")</f>
        <v>High-Volume</v>
      </c>
      <c r="O83" s="5" t="str">
        <f>IF('Cleaned Data'!$I83&gt;=100000,"Premium","Standard")</f>
        <v>Standard</v>
      </c>
      <c r="P83" s="56" t="str">
        <f>IF(Zen_Elite_Shoe_Sales[[#This Row],[Revenue]]&gt;=1000000,"Top Performer","Average Performer")</f>
        <v>Average Performer</v>
      </c>
    </row>
    <row r="84" spans="1:16" x14ac:dyDescent="0.35">
      <c r="A84" s="46">
        <v>46105</v>
      </c>
      <c r="B84" s="28" t="s">
        <v>19</v>
      </c>
      <c r="C84" s="28" t="s">
        <v>50</v>
      </c>
      <c r="D84" s="28" t="s">
        <v>21</v>
      </c>
      <c r="E84" s="28" t="s">
        <v>71</v>
      </c>
      <c r="F84" s="28" t="s">
        <v>60</v>
      </c>
      <c r="G84" s="6">
        <v>14</v>
      </c>
      <c r="H84" s="15">
        <v>48000</v>
      </c>
      <c r="I84" s="15">
        <v>53000</v>
      </c>
      <c r="J84" s="15">
        <f>PRODUCT('Cleaned Data'!$G84,'Cleaned Data'!$I84)</f>
        <v>742000</v>
      </c>
      <c r="K84" s="15">
        <f>PRODUCT('Cleaned Data'!$G84,'Cleaned Data'!$H84)</f>
        <v>672000</v>
      </c>
      <c r="L84" s="15">
        <f>('Cleaned Data'!$J84-'Cleaned Data'!$K84)</f>
        <v>70000</v>
      </c>
      <c r="M84" s="23">
        <f>('Cleaned Data'!$L84/'Cleaned Data'!$J84)</f>
        <v>9.4339622641509441E-2</v>
      </c>
      <c r="N84" s="5" t="str">
        <f>IF('Cleaned Data'!$G84&gt;10,"High-Volume","Low-Volume")</f>
        <v>High-Volume</v>
      </c>
      <c r="O84" s="5" t="str">
        <f>IF('Cleaned Data'!$I84&gt;=100000,"Premium","Standard")</f>
        <v>Standard</v>
      </c>
      <c r="P84" s="56" t="str">
        <f>IF(Zen_Elite_Shoe_Sales[[#This Row],[Revenue]]&gt;=1000000,"Top Performer","Average Performer")</f>
        <v>Average Performer</v>
      </c>
    </row>
    <row r="85" spans="1:16" x14ac:dyDescent="0.35">
      <c r="A85" s="46">
        <v>46106</v>
      </c>
      <c r="B85" s="28" t="s">
        <v>53</v>
      </c>
      <c r="C85" s="28" t="s">
        <v>15</v>
      </c>
      <c r="D85" s="28" t="s">
        <v>26</v>
      </c>
      <c r="E85" s="28" t="s">
        <v>27</v>
      </c>
      <c r="F85" s="28" t="s">
        <v>63</v>
      </c>
      <c r="G85" s="6">
        <v>5</v>
      </c>
      <c r="H85" s="15">
        <v>63000</v>
      </c>
      <c r="I85" s="15">
        <v>69500</v>
      </c>
      <c r="J85" s="15">
        <f>PRODUCT('Cleaned Data'!$G85,'Cleaned Data'!$I85)</f>
        <v>347500</v>
      </c>
      <c r="K85" s="15">
        <f>PRODUCT('Cleaned Data'!$G85,'Cleaned Data'!$H85)</f>
        <v>315000</v>
      </c>
      <c r="L85" s="15">
        <f>('Cleaned Data'!$J85-'Cleaned Data'!$K85)</f>
        <v>32500</v>
      </c>
      <c r="M85" s="23">
        <f>('Cleaned Data'!$L85/'Cleaned Data'!$J85)</f>
        <v>9.3525179856115109E-2</v>
      </c>
      <c r="N85" s="5" t="str">
        <f>IF('Cleaned Data'!$G85&gt;10,"High-Volume","Low-Volume")</f>
        <v>Low-Volume</v>
      </c>
      <c r="O85" s="5" t="str">
        <f>IF('Cleaned Data'!$I85&gt;=100000,"Premium","Standard")</f>
        <v>Standard</v>
      </c>
      <c r="P85" s="56" t="str">
        <f>IF(Zen_Elite_Shoe_Sales[[#This Row],[Revenue]]&gt;=1000000,"Top Performer","Average Performer")</f>
        <v>Average Performer</v>
      </c>
    </row>
    <row r="86" spans="1:16" x14ac:dyDescent="0.35">
      <c r="A86" s="46">
        <v>46107</v>
      </c>
      <c r="B86" s="28" t="s">
        <v>73</v>
      </c>
      <c r="C86" s="28" t="s">
        <v>30</v>
      </c>
      <c r="D86" s="28" t="s">
        <v>31</v>
      </c>
      <c r="E86" s="28" t="s">
        <v>59</v>
      </c>
      <c r="F86" s="28" t="s">
        <v>13</v>
      </c>
      <c r="G86" s="6">
        <v>14</v>
      </c>
      <c r="H86" s="15">
        <v>68000</v>
      </c>
      <c r="I86" s="15">
        <v>74500</v>
      </c>
      <c r="J86" s="15">
        <f>PRODUCT('Cleaned Data'!$G86,'Cleaned Data'!$I86)</f>
        <v>1043000</v>
      </c>
      <c r="K86" s="15">
        <f>PRODUCT('Cleaned Data'!$G86,'Cleaned Data'!$H86)</f>
        <v>952000</v>
      </c>
      <c r="L86" s="15">
        <f>('Cleaned Data'!$J86-'Cleaned Data'!$K86)</f>
        <v>91000</v>
      </c>
      <c r="M86" s="23">
        <f>('Cleaned Data'!$L86/'Cleaned Data'!$J86)</f>
        <v>8.7248322147651006E-2</v>
      </c>
      <c r="N86" s="5" t="str">
        <f>IF('Cleaned Data'!$G86&gt;10,"High-Volume","Low-Volume")</f>
        <v>High-Volume</v>
      </c>
      <c r="O86" s="5" t="str">
        <f>IF('Cleaned Data'!$I86&gt;=100000,"Premium","Standard")</f>
        <v>Standard</v>
      </c>
      <c r="P86" s="56" t="str">
        <f>IF(Zen_Elite_Shoe_Sales[[#This Row],[Revenue]]&gt;=1000000,"Top Performer","Average Performer")</f>
        <v>Top Performer</v>
      </c>
    </row>
    <row r="87" spans="1:16" x14ac:dyDescent="0.35">
      <c r="A87" s="46">
        <v>46108</v>
      </c>
      <c r="B87" s="28" t="s">
        <v>34</v>
      </c>
      <c r="C87" s="28" t="s">
        <v>41</v>
      </c>
      <c r="D87" s="28" t="s">
        <v>11</v>
      </c>
      <c r="E87" s="28" t="s">
        <v>12</v>
      </c>
      <c r="F87" s="28" t="s">
        <v>18</v>
      </c>
      <c r="G87" s="6">
        <v>12</v>
      </c>
      <c r="H87" s="15">
        <v>98000</v>
      </c>
      <c r="I87" s="15">
        <v>99800</v>
      </c>
      <c r="J87" s="15">
        <f>PRODUCT('Cleaned Data'!$G87,'Cleaned Data'!$I87)</f>
        <v>1197600</v>
      </c>
      <c r="K87" s="15">
        <f>PRODUCT('Cleaned Data'!$G87,'Cleaned Data'!$H87)</f>
        <v>1176000</v>
      </c>
      <c r="L87" s="15">
        <f>('Cleaned Data'!$J87-'Cleaned Data'!$K87)</f>
        <v>21600</v>
      </c>
      <c r="M87" s="23">
        <f>('Cleaned Data'!$L87/'Cleaned Data'!$J87)</f>
        <v>1.8036072144288578E-2</v>
      </c>
      <c r="N87" s="5" t="str">
        <f>IF('Cleaned Data'!$G87&gt;10,"High-Volume","Low-Volume")</f>
        <v>High-Volume</v>
      </c>
      <c r="O87" s="5" t="str">
        <f>IF('Cleaned Data'!$I87&gt;=100000,"Premium","Standard")</f>
        <v>Standard</v>
      </c>
      <c r="P87" s="56" t="str">
        <f>IF(Zen_Elite_Shoe_Sales[[#This Row],[Revenue]]&gt;=1000000,"Top Performer","Average Performer")</f>
        <v>Top Performer</v>
      </c>
    </row>
    <row r="88" spans="1:16" x14ac:dyDescent="0.35">
      <c r="A88" s="46">
        <v>46109</v>
      </c>
      <c r="B88" s="28" t="s">
        <v>64</v>
      </c>
      <c r="C88" s="28" t="s">
        <v>41</v>
      </c>
      <c r="D88" s="28" t="s">
        <v>16</v>
      </c>
      <c r="E88" s="28" t="s">
        <v>12</v>
      </c>
      <c r="F88" s="28" t="s">
        <v>23</v>
      </c>
      <c r="G88" s="6">
        <v>7</v>
      </c>
      <c r="H88" s="15">
        <v>112000</v>
      </c>
      <c r="I88" s="15">
        <v>113800</v>
      </c>
      <c r="J88" s="15">
        <f>PRODUCT('Cleaned Data'!$G88,'Cleaned Data'!$I88)</f>
        <v>796600</v>
      </c>
      <c r="K88" s="15">
        <f>PRODUCT('Cleaned Data'!$G88,'Cleaned Data'!$H88)</f>
        <v>784000</v>
      </c>
      <c r="L88" s="15">
        <f>('Cleaned Data'!$J88-'Cleaned Data'!$K88)</f>
        <v>12600</v>
      </c>
      <c r="M88" s="23">
        <f>('Cleaned Data'!$L88/'Cleaned Data'!$J88)</f>
        <v>1.5817223198594025E-2</v>
      </c>
      <c r="N88" s="5" t="str">
        <f>IF('Cleaned Data'!$G88&gt;10,"High-Volume","Low-Volume")</f>
        <v>Low-Volume</v>
      </c>
      <c r="O88" s="5" t="str">
        <f>IF('Cleaned Data'!$I88&gt;=100000,"Premium","Standard")</f>
        <v>Premium</v>
      </c>
      <c r="P88" s="56" t="str">
        <f>IF(Zen_Elite_Shoe_Sales[[#This Row],[Revenue]]&gt;=1000000,"Top Performer","Average Performer")</f>
        <v>Average Performer</v>
      </c>
    </row>
    <row r="89" spans="1:16" x14ac:dyDescent="0.35">
      <c r="A89" s="46">
        <v>46110</v>
      </c>
      <c r="B89" s="28" t="s">
        <v>78</v>
      </c>
      <c r="C89" s="28" t="s">
        <v>41</v>
      </c>
      <c r="D89" s="28" t="s">
        <v>21</v>
      </c>
      <c r="E89" s="28" t="s">
        <v>27</v>
      </c>
      <c r="F89" s="28" t="s">
        <v>28</v>
      </c>
      <c r="G89" s="6">
        <v>13</v>
      </c>
      <c r="H89" s="15">
        <v>116000</v>
      </c>
      <c r="I89" s="15">
        <v>117800</v>
      </c>
      <c r="J89" s="15">
        <f>PRODUCT('Cleaned Data'!$G89,'Cleaned Data'!$I89)</f>
        <v>1531400</v>
      </c>
      <c r="K89" s="15">
        <f>PRODUCT('Cleaned Data'!$G89,'Cleaned Data'!$H89)</f>
        <v>1508000</v>
      </c>
      <c r="L89" s="15">
        <f>('Cleaned Data'!$J89-'Cleaned Data'!$K89)</f>
        <v>23400</v>
      </c>
      <c r="M89" s="23">
        <f>('Cleaned Data'!$L89/'Cleaned Data'!$J89)</f>
        <v>1.5280135823429542E-2</v>
      </c>
      <c r="N89" s="5" t="str">
        <f>IF('Cleaned Data'!$G89&gt;10,"High-Volume","Low-Volume")</f>
        <v>High-Volume</v>
      </c>
      <c r="O89" s="5" t="str">
        <f>IF('Cleaned Data'!$I89&gt;=100000,"Premium","Standard")</f>
        <v>Premium</v>
      </c>
      <c r="P89" s="56" t="str">
        <f>IF(Zen_Elite_Shoe_Sales[[#This Row],[Revenue]]&gt;=1000000,"Top Performer","Average Performer")</f>
        <v>Top Performer</v>
      </c>
    </row>
    <row r="90" spans="1:16" x14ac:dyDescent="0.35">
      <c r="A90" s="46">
        <v>46111</v>
      </c>
      <c r="B90" s="28" t="s">
        <v>44</v>
      </c>
      <c r="C90" s="28" t="s">
        <v>41</v>
      </c>
      <c r="D90" s="28" t="s">
        <v>26</v>
      </c>
      <c r="E90" s="28" t="s">
        <v>12</v>
      </c>
      <c r="F90" s="28" t="s">
        <v>33</v>
      </c>
      <c r="G90" s="6">
        <v>11</v>
      </c>
      <c r="H90" s="15">
        <v>100000</v>
      </c>
      <c r="I90" s="15">
        <v>101800</v>
      </c>
      <c r="J90" s="15">
        <f>PRODUCT('Cleaned Data'!$G90,'Cleaned Data'!$I90)</f>
        <v>1119800</v>
      </c>
      <c r="K90" s="15">
        <f>PRODUCT('Cleaned Data'!$G90,'Cleaned Data'!$H90)</f>
        <v>1100000</v>
      </c>
      <c r="L90" s="15">
        <f>('Cleaned Data'!$J90-'Cleaned Data'!$K90)</f>
        <v>19800</v>
      </c>
      <c r="M90" s="23">
        <f>('Cleaned Data'!$L90/'Cleaned Data'!$J90)</f>
        <v>1.768172888015717E-2</v>
      </c>
      <c r="N90" s="5" t="str">
        <f>IF('Cleaned Data'!$G90&gt;10,"High-Volume","Low-Volume")</f>
        <v>High-Volume</v>
      </c>
      <c r="O90" s="5" t="str">
        <f>IF('Cleaned Data'!$I90&gt;=100000,"Premium","Standard")</f>
        <v>Premium</v>
      </c>
      <c r="P90" s="56" t="str">
        <f>IF(Zen_Elite_Shoe_Sales[[#This Row],[Revenue]]&gt;=1000000,"Top Performer","Average Performer")</f>
        <v>Top Performer</v>
      </c>
    </row>
    <row r="91" spans="1:16" x14ac:dyDescent="0.35">
      <c r="A91" s="46">
        <v>46112</v>
      </c>
      <c r="B91" s="28" t="s">
        <v>67</v>
      </c>
      <c r="C91" s="28" t="s">
        <v>15</v>
      </c>
      <c r="D91" s="28" t="s">
        <v>31</v>
      </c>
      <c r="E91" s="28" t="s">
        <v>47</v>
      </c>
      <c r="F91" s="28" t="s">
        <v>37</v>
      </c>
      <c r="G91" s="6">
        <v>15</v>
      </c>
      <c r="H91" s="15">
        <v>64000</v>
      </c>
      <c r="I91" s="15">
        <v>70500</v>
      </c>
      <c r="J91" s="15">
        <f>PRODUCT('Cleaned Data'!$G91,'Cleaned Data'!$I91)</f>
        <v>1057500</v>
      </c>
      <c r="K91" s="15">
        <f>PRODUCT('Cleaned Data'!$G91,'Cleaned Data'!$H91)</f>
        <v>960000</v>
      </c>
      <c r="L91" s="15">
        <f>('Cleaned Data'!$J91-'Cleaned Data'!$K91)</f>
        <v>97500</v>
      </c>
      <c r="M91" s="23">
        <f>('Cleaned Data'!$L91/'Cleaned Data'!$J91)</f>
        <v>9.2198581560283682E-2</v>
      </c>
      <c r="N91" s="5" t="str">
        <f>IF('Cleaned Data'!$G91&gt;10,"High-Volume","Low-Volume")</f>
        <v>High-Volume</v>
      </c>
      <c r="O91" s="5" t="str">
        <f>IF('Cleaned Data'!$I91&gt;=100000,"Premium","Standard")</f>
        <v>Standard</v>
      </c>
      <c r="P91" s="56" t="str">
        <f>IF(Zen_Elite_Shoe_Sales[[#This Row],[Revenue]]&gt;=1000000,"Top Performer","Average Performer")</f>
        <v>Top Performer</v>
      </c>
    </row>
    <row r="92" spans="1:16" x14ac:dyDescent="0.35">
      <c r="A92" s="46">
        <v>46113</v>
      </c>
      <c r="B92" s="28" t="s">
        <v>19</v>
      </c>
      <c r="C92" s="28" t="s">
        <v>50</v>
      </c>
      <c r="D92" s="28" t="s">
        <v>11</v>
      </c>
      <c r="E92" s="28" t="s">
        <v>71</v>
      </c>
      <c r="F92" s="28" t="s">
        <v>39</v>
      </c>
      <c r="G92" s="6">
        <v>10</v>
      </c>
      <c r="H92" s="15">
        <v>46000</v>
      </c>
      <c r="I92" s="15">
        <v>51000</v>
      </c>
      <c r="J92" s="15">
        <f>PRODUCT('Cleaned Data'!$G92,'Cleaned Data'!$I92)</f>
        <v>510000</v>
      </c>
      <c r="K92" s="15">
        <f>PRODUCT('Cleaned Data'!$G92,'Cleaned Data'!$H92)</f>
        <v>460000</v>
      </c>
      <c r="L92" s="15">
        <f>('Cleaned Data'!$J92-'Cleaned Data'!$K92)</f>
        <v>50000</v>
      </c>
      <c r="M92" s="23">
        <f>('Cleaned Data'!$L92/'Cleaned Data'!$J92)</f>
        <v>9.8039215686274508E-2</v>
      </c>
      <c r="N92" s="5" t="str">
        <f>IF('Cleaned Data'!$G92&gt;10,"High-Volume","Low-Volume")</f>
        <v>Low-Volume</v>
      </c>
      <c r="O92" s="5" t="str">
        <f>IF('Cleaned Data'!$I92&gt;=100000,"Premium","Standard")</f>
        <v>Standard</v>
      </c>
      <c r="P92" s="56" t="str">
        <f>IF(Zen_Elite_Shoe_Sales[[#This Row],[Revenue]]&gt;=1000000,"Top Performer","Average Performer")</f>
        <v>Average Performer</v>
      </c>
    </row>
    <row r="93" spans="1:16" x14ac:dyDescent="0.35">
      <c r="A93" s="46">
        <v>46114</v>
      </c>
      <c r="B93" s="28" t="s">
        <v>53</v>
      </c>
      <c r="C93" s="28" t="s">
        <v>15</v>
      </c>
      <c r="D93" s="28" t="s">
        <v>16</v>
      </c>
      <c r="E93" s="28" t="s">
        <v>27</v>
      </c>
      <c r="F93" s="28" t="s">
        <v>43</v>
      </c>
      <c r="G93" s="6">
        <v>3</v>
      </c>
      <c r="H93" s="15">
        <v>66000</v>
      </c>
      <c r="I93" s="15">
        <v>72500</v>
      </c>
      <c r="J93" s="15">
        <f>PRODUCT('Cleaned Data'!$G93,'Cleaned Data'!$I93)</f>
        <v>217500</v>
      </c>
      <c r="K93" s="15">
        <f>PRODUCT('Cleaned Data'!$G93,'Cleaned Data'!$H93)</f>
        <v>198000</v>
      </c>
      <c r="L93" s="15">
        <f>('Cleaned Data'!$J93-'Cleaned Data'!$K93)</f>
        <v>19500</v>
      </c>
      <c r="M93" s="23">
        <f>('Cleaned Data'!$L93/'Cleaned Data'!$J93)</f>
        <v>8.9655172413793102E-2</v>
      </c>
      <c r="N93" s="5" t="str">
        <f>IF('Cleaned Data'!$G93&gt;10,"High-Volume","Low-Volume")</f>
        <v>Low-Volume</v>
      </c>
      <c r="O93" s="5" t="str">
        <f>IF('Cleaned Data'!$I93&gt;=100000,"Premium","Standard")</f>
        <v>Standard</v>
      </c>
      <c r="P93" s="56" t="str">
        <f>IF(Zen_Elite_Shoe_Sales[[#This Row],[Revenue]]&gt;=1000000,"Top Performer","Average Performer")</f>
        <v>Average Performer</v>
      </c>
    </row>
    <row r="94" spans="1:16" x14ac:dyDescent="0.35">
      <c r="A94" s="46">
        <v>46115</v>
      </c>
      <c r="B94" s="28" t="s">
        <v>73</v>
      </c>
      <c r="C94" s="28" t="s">
        <v>30</v>
      </c>
      <c r="D94" s="28" t="s">
        <v>21</v>
      </c>
      <c r="E94" s="28" t="s">
        <v>59</v>
      </c>
      <c r="F94" s="28" t="s">
        <v>45</v>
      </c>
      <c r="G94" s="6">
        <v>7</v>
      </c>
      <c r="H94" s="15">
        <v>59000</v>
      </c>
      <c r="I94" s="15">
        <v>65000</v>
      </c>
      <c r="J94" s="15">
        <f>PRODUCT('Cleaned Data'!$G94,'Cleaned Data'!$I94)</f>
        <v>455000</v>
      </c>
      <c r="K94" s="15">
        <f>PRODUCT('Cleaned Data'!$G94,'Cleaned Data'!$H94)</f>
        <v>413000</v>
      </c>
      <c r="L94" s="15">
        <f>('Cleaned Data'!$J94-'Cleaned Data'!$K94)</f>
        <v>42000</v>
      </c>
      <c r="M94" s="23">
        <f>('Cleaned Data'!$L94/'Cleaned Data'!$J94)</f>
        <v>9.2307692307692313E-2</v>
      </c>
      <c r="N94" s="5" t="str">
        <f>IF('Cleaned Data'!$G94&gt;10,"High-Volume","Low-Volume")</f>
        <v>Low-Volume</v>
      </c>
      <c r="O94" s="5" t="str">
        <f>IF('Cleaned Data'!$I94&gt;=100000,"Premium","Standard")</f>
        <v>Standard</v>
      </c>
      <c r="P94" s="56" t="str">
        <f>IF(Zen_Elite_Shoe_Sales[[#This Row],[Revenue]]&gt;=1000000,"Top Performer","Average Performer")</f>
        <v>Average Performer</v>
      </c>
    </row>
    <row r="95" spans="1:16" x14ac:dyDescent="0.35">
      <c r="A95" s="46">
        <v>46116</v>
      </c>
      <c r="B95" s="28" t="s">
        <v>34</v>
      </c>
      <c r="C95" s="28" t="s">
        <v>41</v>
      </c>
      <c r="D95" s="28" t="s">
        <v>26</v>
      </c>
      <c r="E95" s="28" t="s">
        <v>12</v>
      </c>
      <c r="F95" s="28" t="s">
        <v>48</v>
      </c>
      <c r="G95" s="6">
        <v>6</v>
      </c>
      <c r="H95" s="15">
        <v>102000</v>
      </c>
      <c r="I95" s="15">
        <v>103800</v>
      </c>
      <c r="J95" s="15">
        <f>PRODUCT('Cleaned Data'!$G95,'Cleaned Data'!$I95)</f>
        <v>622800</v>
      </c>
      <c r="K95" s="15">
        <f>PRODUCT('Cleaned Data'!$G95,'Cleaned Data'!$H95)</f>
        <v>612000</v>
      </c>
      <c r="L95" s="15">
        <f>('Cleaned Data'!$J95-'Cleaned Data'!$K95)</f>
        <v>10800</v>
      </c>
      <c r="M95" s="23">
        <f>('Cleaned Data'!$L95/'Cleaned Data'!$J95)</f>
        <v>1.7341040462427744E-2</v>
      </c>
      <c r="N95" s="5" t="str">
        <f>IF('Cleaned Data'!$G95&gt;10,"High-Volume","Low-Volume")</f>
        <v>Low-Volume</v>
      </c>
      <c r="O95" s="5" t="str">
        <f>IF('Cleaned Data'!$I95&gt;=100000,"Premium","Standard")</f>
        <v>Premium</v>
      </c>
      <c r="P95" s="56" t="str">
        <f>IF(Zen_Elite_Shoe_Sales[[#This Row],[Revenue]]&gt;=1000000,"Top Performer","Average Performer")</f>
        <v>Average Performer</v>
      </c>
    </row>
    <row r="96" spans="1:16" x14ac:dyDescent="0.35">
      <c r="A96" s="46">
        <v>46117</v>
      </c>
      <c r="B96" s="28" t="s">
        <v>64</v>
      </c>
      <c r="C96" s="28" t="s">
        <v>41</v>
      </c>
      <c r="D96" s="28" t="s">
        <v>31</v>
      </c>
      <c r="E96" s="28" t="s">
        <v>12</v>
      </c>
      <c r="F96" s="28" t="s">
        <v>52</v>
      </c>
      <c r="G96" s="6">
        <v>7</v>
      </c>
      <c r="H96" s="15">
        <v>101000</v>
      </c>
      <c r="I96" s="15">
        <v>102800</v>
      </c>
      <c r="J96" s="15">
        <f>PRODUCT('Cleaned Data'!$G96,'Cleaned Data'!$I96)</f>
        <v>719600</v>
      </c>
      <c r="K96" s="15">
        <f>PRODUCT('Cleaned Data'!$G96,'Cleaned Data'!$H96)</f>
        <v>707000</v>
      </c>
      <c r="L96" s="15">
        <f>('Cleaned Data'!$J96-'Cleaned Data'!$K96)</f>
        <v>12600</v>
      </c>
      <c r="M96" s="23">
        <f>('Cleaned Data'!$L96/'Cleaned Data'!$J96)</f>
        <v>1.7509727626459144E-2</v>
      </c>
      <c r="N96" s="5" t="str">
        <f>IF('Cleaned Data'!$G96&gt;10,"High-Volume","Low-Volume")</f>
        <v>Low-Volume</v>
      </c>
      <c r="O96" s="5" t="str">
        <f>IF('Cleaned Data'!$I96&gt;=100000,"Premium","Standard")</f>
        <v>Premium</v>
      </c>
      <c r="P96" s="56" t="str">
        <f>IF(Zen_Elite_Shoe_Sales[[#This Row],[Revenue]]&gt;=1000000,"Top Performer","Average Performer")</f>
        <v>Average Performer</v>
      </c>
    </row>
    <row r="97" spans="1:16" x14ac:dyDescent="0.35">
      <c r="A97" s="46">
        <v>46118</v>
      </c>
      <c r="B97" s="28" t="s">
        <v>78</v>
      </c>
      <c r="C97" s="28" t="s">
        <v>41</v>
      </c>
      <c r="D97" s="28" t="s">
        <v>11</v>
      </c>
      <c r="E97" s="28" t="s">
        <v>27</v>
      </c>
      <c r="F97" s="28" t="s">
        <v>56</v>
      </c>
      <c r="G97" s="6">
        <v>7</v>
      </c>
      <c r="H97" s="15">
        <v>112000</v>
      </c>
      <c r="I97" s="15">
        <v>113800</v>
      </c>
      <c r="J97" s="15">
        <f>PRODUCT('Cleaned Data'!$G97,'Cleaned Data'!$I97)</f>
        <v>796600</v>
      </c>
      <c r="K97" s="15">
        <f>PRODUCT('Cleaned Data'!$G97,'Cleaned Data'!$H97)</f>
        <v>784000</v>
      </c>
      <c r="L97" s="15">
        <f>('Cleaned Data'!$J97-'Cleaned Data'!$K97)</f>
        <v>12600</v>
      </c>
      <c r="M97" s="23">
        <f>('Cleaned Data'!$L97/'Cleaned Data'!$J97)</f>
        <v>1.5817223198594025E-2</v>
      </c>
      <c r="N97" s="5" t="str">
        <f>IF('Cleaned Data'!$G97&gt;10,"High-Volume","Low-Volume")</f>
        <v>Low-Volume</v>
      </c>
      <c r="O97" s="5" t="str">
        <f>IF('Cleaned Data'!$I97&gt;=100000,"Premium","Standard")</f>
        <v>Premium</v>
      </c>
      <c r="P97" s="56" t="str">
        <f>IF(Zen_Elite_Shoe_Sales[[#This Row],[Revenue]]&gt;=1000000,"Top Performer","Average Performer")</f>
        <v>Average Performer</v>
      </c>
    </row>
    <row r="98" spans="1:16" x14ac:dyDescent="0.35">
      <c r="A98" s="46">
        <v>46119</v>
      </c>
      <c r="B98" s="28" t="s">
        <v>44</v>
      </c>
      <c r="C98" s="28" t="s">
        <v>41</v>
      </c>
      <c r="D98" s="28" t="s">
        <v>16</v>
      </c>
      <c r="E98" s="28" t="s">
        <v>12</v>
      </c>
      <c r="F98" s="28" t="s">
        <v>60</v>
      </c>
      <c r="G98" s="6">
        <v>6</v>
      </c>
      <c r="H98" s="15">
        <v>134000</v>
      </c>
      <c r="I98" s="15">
        <v>135800</v>
      </c>
      <c r="J98" s="15">
        <f>PRODUCT('Cleaned Data'!$G98,'Cleaned Data'!$I98)</f>
        <v>814800</v>
      </c>
      <c r="K98" s="15">
        <f>PRODUCT('Cleaned Data'!$G98,'Cleaned Data'!$H98)</f>
        <v>804000</v>
      </c>
      <c r="L98" s="15">
        <f>('Cleaned Data'!$J98-'Cleaned Data'!$K98)</f>
        <v>10800</v>
      </c>
      <c r="M98" s="23">
        <f>('Cleaned Data'!$L98/'Cleaned Data'!$J98)</f>
        <v>1.3254786450662739E-2</v>
      </c>
      <c r="N98" s="5" t="str">
        <f>IF('Cleaned Data'!$G98&gt;10,"High-Volume","Low-Volume")</f>
        <v>Low-Volume</v>
      </c>
      <c r="O98" s="5" t="str">
        <f>IF('Cleaned Data'!$I98&gt;=100000,"Premium","Standard")</f>
        <v>Premium</v>
      </c>
      <c r="P98" s="56" t="str">
        <f>IF(Zen_Elite_Shoe_Sales[[#This Row],[Revenue]]&gt;=1000000,"Top Performer","Average Performer")</f>
        <v>Average Performer</v>
      </c>
    </row>
    <row r="99" spans="1:16" x14ac:dyDescent="0.35">
      <c r="A99" s="46">
        <v>46120</v>
      </c>
      <c r="B99" s="28" t="s">
        <v>67</v>
      </c>
      <c r="C99" s="28" t="s">
        <v>15</v>
      </c>
      <c r="D99" s="28" t="s">
        <v>21</v>
      </c>
      <c r="E99" s="28" t="s">
        <v>47</v>
      </c>
      <c r="F99" s="28" t="s">
        <v>63</v>
      </c>
      <c r="G99" s="6">
        <v>3</v>
      </c>
      <c r="H99" s="15">
        <v>63000</v>
      </c>
      <c r="I99" s="15">
        <v>69500</v>
      </c>
      <c r="J99" s="15">
        <f>PRODUCT('Cleaned Data'!$G99,'Cleaned Data'!$I99)</f>
        <v>208500</v>
      </c>
      <c r="K99" s="15">
        <f>PRODUCT('Cleaned Data'!$G99,'Cleaned Data'!$H99)</f>
        <v>189000</v>
      </c>
      <c r="L99" s="15">
        <f>('Cleaned Data'!$J99-'Cleaned Data'!$K99)</f>
        <v>19500</v>
      </c>
      <c r="M99" s="23">
        <f>('Cleaned Data'!$L99/'Cleaned Data'!$J99)</f>
        <v>9.3525179856115109E-2</v>
      </c>
      <c r="N99" s="5" t="str">
        <f>IF('Cleaned Data'!$G99&gt;10,"High-Volume","Low-Volume")</f>
        <v>Low-Volume</v>
      </c>
      <c r="O99" s="5" t="str">
        <f>IF('Cleaned Data'!$I99&gt;=100000,"Premium","Standard")</f>
        <v>Standard</v>
      </c>
      <c r="P99" s="56" t="str">
        <f>IF(Zen_Elite_Shoe_Sales[[#This Row],[Revenue]]&gt;=1000000,"Top Performer","Average Performer")</f>
        <v>Average Performer</v>
      </c>
    </row>
    <row r="100" spans="1:16" x14ac:dyDescent="0.35">
      <c r="A100" s="46">
        <v>46121</v>
      </c>
      <c r="B100" s="28" t="s">
        <v>19</v>
      </c>
      <c r="C100" s="28" t="s">
        <v>50</v>
      </c>
      <c r="D100" s="28" t="s">
        <v>26</v>
      </c>
      <c r="E100" s="28" t="s">
        <v>71</v>
      </c>
      <c r="F100" s="28" t="s">
        <v>13</v>
      </c>
      <c r="G100" s="6">
        <v>12</v>
      </c>
      <c r="H100" s="15">
        <v>39000</v>
      </c>
      <c r="I100" s="15">
        <v>44000</v>
      </c>
      <c r="J100" s="15">
        <f>PRODUCT('Cleaned Data'!$G100,'Cleaned Data'!$I100)</f>
        <v>528000</v>
      </c>
      <c r="K100" s="15">
        <f>PRODUCT('Cleaned Data'!$G100,'Cleaned Data'!$H100)</f>
        <v>468000</v>
      </c>
      <c r="L100" s="15">
        <f>('Cleaned Data'!$J100-'Cleaned Data'!$K100)</f>
        <v>60000</v>
      </c>
      <c r="M100" s="23">
        <f>('Cleaned Data'!$L100/'Cleaned Data'!$J100)</f>
        <v>0.11363636363636363</v>
      </c>
      <c r="N100" s="5" t="str">
        <f>IF('Cleaned Data'!$G100&gt;10,"High-Volume","Low-Volume")</f>
        <v>High-Volume</v>
      </c>
      <c r="O100" s="5" t="str">
        <f>IF('Cleaned Data'!$I100&gt;=100000,"Premium","Standard")</f>
        <v>Standard</v>
      </c>
      <c r="P100" s="56" t="str">
        <f>IF(Zen_Elite_Shoe_Sales[[#This Row],[Revenue]]&gt;=1000000,"Top Performer","Average Performer")</f>
        <v>Average Performer</v>
      </c>
    </row>
    <row r="101" spans="1:16" x14ac:dyDescent="0.35">
      <c r="A101" s="46">
        <v>46122</v>
      </c>
      <c r="B101" s="28" t="s">
        <v>53</v>
      </c>
      <c r="C101" s="28" t="s">
        <v>15</v>
      </c>
      <c r="D101" s="28" t="s">
        <v>31</v>
      </c>
      <c r="E101" s="28" t="s">
        <v>27</v>
      </c>
      <c r="F101" s="28" t="s">
        <v>18</v>
      </c>
      <c r="G101" s="6">
        <v>5</v>
      </c>
      <c r="H101" s="15">
        <v>69000</v>
      </c>
      <c r="I101" s="15">
        <v>75500</v>
      </c>
      <c r="J101" s="15">
        <f>PRODUCT('Cleaned Data'!$G101,'Cleaned Data'!$I101)</f>
        <v>377500</v>
      </c>
      <c r="K101" s="15">
        <f>PRODUCT('Cleaned Data'!$G101,'Cleaned Data'!$H101)</f>
        <v>345000</v>
      </c>
      <c r="L101" s="15">
        <f>('Cleaned Data'!$J101-'Cleaned Data'!$K101)</f>
        <v>32500</v>
      </c>
      <c r="M101" s="23">
        <f>('Cleaned Data'!$L101/'Cleaned Data'!$J101)</f>
        <v>8.6092715231788075E-2</v>
      </c>
      <c r="N101" s="5" t="str">
        <f>IF('Cleaned Data'!$G101&gt;10,"High-Volume","Low-Volume")</f>
        <v>Low-Volume</v>
      </c>
      <c r="O101" s="5" t="str">
        <f>IF('Cleaned Data'!$I101&gt;=100000,"Premium","Standard")</f>
        <v>Standard</v>
      </c>
      <c r="P101" s="56" t="str">
        <f>IF(Zen_Elite_Shoe_Sales[[#This Row],[Revenue]]&gt;=1000000,"Top Performer","Average Performer")</f>
        <v>Average Performer</v>
      </c>
    </row>
    <row r="102" spans="1:16" x14ac:dyDescent="0.35">
      <c r="A102" s="46">
        <v>46123</v>
      </c>
      <c r="B102" s="28" t="s">
        <v>73</v>
      </c>
      <c r="C102" s="28" t="s">
        <v>30</v>
      </c>
      <c r="D102" s="28" t="s">
        <v>11</v>
      </c>
      <c r="E102" s="28" t="s">
        <v>59</v>
      </c>
      <c r="F102" s="28" t="s">
        <v>23</v>
      </c>
      <c r="G102" s="6">
        <v>3</v>
      </c>
      <c r="H102" s="15">
        <v>72000</v>
      </c>
      <c r="I102" s="15">
        <v>75000</v>
      </c>
      <c r="J102" s="15">
        <f>PRODUCT('Cleaned Data'!$G102,'Cleaned Data'!$I102)</f>
        <v>225000</v>
      </c>
      <c r="K102" s="15">
        <f>PRODUCT('Cleaned Data'!$G102,'Cleaned Data'!$H102)</f>
        <v>216000</v>
      </c>
      <c r="L102" s="15">
        <f>('Cleaned Data'!$J102-'Cleaned Data'!$K102)</f>
        <v>9000</v>
      </c>
      <c r="M102" s="23">
        <f>('Cleaned Data'!$L102/'Cleaned Data'!$J102)</f>
        <v>0.04</v>
      </c>
      <c r="N102" s="5" t="str">
        <f>IF('Cleaned Data'!$G102&gt;10,"High-Volume","Low-Volume")</f>
        <v>Low-Volume</v>
      </c>
      <c r="O102" s="5" t="str">
        <f>IF('Cleaned Data'!$I102&gt;=100000,"Premium","Standard")</f>
        <v>Standard</v>
      </c>
      <c r="P102" s="56" t="str">
        <f>IF(Zen_Elite_Shoe_Sales[[#This Row],[Revenue]]&gt;=1000000,"Top Performer","Average Performer")</f>
        <v>Average Performer</v>
      </c>
    </row>
    <row r="103" spans="1:16" x14ac:dyDescent="0.35">
      <c r="A103" s="46">
        <v>46124</v>
      </c>
      <c r="B103" s="28" t="s">
        <v>34</v>
      </c>
      <c r="C103" s="28" t="s">
        <v>41</v>
      </c>
      <c r="D103" s="28" t="s">
        <v>16</v>
      </c>
      <c r="E103" s="28" t="s">
        <v>12</v>
      </c>
      <c r="F103" s="28" t="s">
        <v>28</v>
      </c>
      <c r="G103" s="6">
        <v>5</v>
      </c>
      <c r="H103" s="15">
        <v>117000</v>
      </c>
      <c r="I103" s="15">
        <v>118800</v>
      </c>
      <c r="J103" s="15">
        <f>PRODUCT('Cleaned Data'!$G103,'Cleaned Data'!$I103)</f>
        <v>594000</v>
      </c>
      <c r="K103" s="15">
        <f>PRODUCT('Cleaned Data'!$G103,'Cleaned Data'!$H103)</f>
        <v>585000</v>
      </c>
      <c r="L103" s="15">
        <f>('Cleaned Data'!$J103-'Cleaned Data'!$K103)</f>
        <v>9000</v>
      </c>
      <c r="M103" s="23">
        <f>('Cleaned Data'!$L103/'Cleaned Data'!$J103)</f>
        <v>1.5151515151515152E-2</v>
      </c>
      <c r="N103" s="5" t="str">
        <f>IF('Cleaned Data'!$G103&gt;10,"High-Volume","Low-Volume")</f>
        <v>Low-Volume</v>
      </c>
      <c r="O103" s="5" t="str">
        <f>IF('Cleaned Data'!$I103&gt;=100000,"Premium","Standard")</f>
        <v>Premium</v>
      </c>
      <c r="P103" s="56" t="str">
        <f>IF(Zen_Elite_Shoe_Sales[[#This Row],[Revenue]]&gt;=1000000,"Top Performer","Average Performer")</f>
        <v>Average Performer</v>
      </c>
    </row>
    <row r="104" spans="1:16" x14ac:dyDescent="0.35">
      <c r="A104" s="46">
        <v>46125</v>
      </c>
      <c r="B104" s="28" t="s">
        <v>64</v>
      </c>
      <c r="C104" s="28" t="s">
        <v>41</v>
      </c>
      <c r="D104" s="28" t="s">
        <v>21</v>
      </c>
      <c r="E104" s="28" t="s">
        <v>12</v>
      </c>
      <c r="F104" s="28" t="s">
        <v>33</v>
      </c>
      <c r="G104" s="6">
        <v>15</v>
      </c>
      <c r="H104" s="15">
        <v>107000</v>
      </c>
      <c r="I104" s="15">
        <v>108800</v>
      </c>
      <c r="J104" s="15">
        <f>PRODUCT('Cleaned Data'!$G104,'Cleaned Data'!$I104)</f>
        <v>1632000</v>
      </c>
      <c r="K104" s="15">
        <f>PRODUCT('Cleaned Data'!$G104,'Cleaned Data'!$H104)</f>
        <v>1605000</v>
      </c>
      <c r="L104" s="15">
        <f>('Cleaned Data'!$J104-'Cleaned Data'!$K104)</f>
        <v>27000</v>
      </c>
      <c r="M104" s="23">
        <f>('Cleaned Data'!$L104/'Cleaned Data'!$J104)</f>
        <v>1.6544117647058824E-2</v>
      </c>
      <c r="N104" s="5" t="str">
        <f>IF('Cleaned Data'!$G104&gt;10,"High-Volume","Low-Volume")</f>
        <v>High-Volume</v>
      </c>
      <c r="O104" s="5" t="str">
        <f>IF('Cleaned Data'!$I104&gt;=100000,"Premium","Standard")</f>
        <v>Premium</v>
      </c>
      <c r="P104" s="56" t="str">
        <f>IF(Zen_Elite_Shoe_Sales[[#This Row],[Revenue]]&gt;=1000000,"Top Performer","Average Performer")</f>
        <v>Top Performer</v>
      </c>
    </row>
    <row r="105" spans="1:16" x14ac:dyDescent="0.35">
      <c r="A105" s="47">
        <v>46126</v>
      </c>
      <c r="B105" s="29" t="s">
        <v>78</v>
      </c>
      <c r="C105" s="29" t="s">
        <v>41</v>
      </c>
      <c r="D105" s="29" t="s">
        <v>26</v>
      </c>
      <c r="E105" s="29" t="s">
        <v>27</v>
      </c>
      <c r="F105" s="29" t="s">
        <v>37</v>
      </c>
      <c r="G105" s="10">
        <v>3</v>
      </c>
      <c r="H105" s="16">
        <v>122000</v>
      </c>
      <c r="I105" s="16">
        <v>123800</v>
      </c>
      <c r="J105" s="16">
        <f>PRODUCT('Cleaned Data'!$G105,'Cleaned Data'!$I105)</f>
        <v>371400</v>
      </c>
      <c r="K105" s="16">
        <f>PRODUCT('Cleaned Data'!$G105,'Cleaned Data'!$H105)</f>
        <v>366000</v>
      </c>
      <c r="L105" s="16">
        <f>('Cleaned Data'!$J105-'Cleaned Data'!$K105)</f>
        <v>5400</v>
      </c>
      <c r="M105" s="24">
        <f>('Cleaned Data'!$L105/'Cleaned Data'!$J105)</f>
        <v>1.4539579967689823E-2</v>
      </c>
      <c r="N105" s="9" t="str">
        <f>IF('Cleaned Data'!$G105&gt;10,"High-Volume","Low-Volume")</f>
        <v>Low-Volume</v>
      </c>
      <c r="O105" s="9" t="str">
        <f>IF('Cleaned Data'!$I105&gt;=100000,"Premium","Standard")</f>
        <v>Premium</v>
      </c>
      <c r="P105" s="56" t="str">
        <f>IF(Zen_Elite_Shoe_Sales[[#This Row],[Revenue]]&gt;=1000000,"Top Performer","Average Performer")</f>
        <v>Average Performer</v>
      </c>
    </row>
    <row r="106" spans="1:16" x14ac:dyDescent="0.35">
      <c r="A106" s="46">
        <v>46127</v>
      </c>
      <c r="B106" s="28" t="s">
        <v>44</v>
      </c>
      <c r="C106" s="28" t="s">
        <v>41</v>
      </c>
      <c r="D106" s="28" t="s">
        <v>31</v>
      </c>
      <c r="E106" s="28" t="s">
        <v>12</v>
      </c>
      <c r="F106" s="28" t="s">
        <v>39</v>
      </c>
      <c r="G106" s="6">
        <v>5</v>
      </c>
      <c r="H106" s="15">
        <v>116000</v>
      </c>
      <c r="I106" s="15">
        <v>117800</v>
      </c>
      <c r="J106" s="15">
        <f>PRODUCT('Cleaned Data'!$G106,'Cleaned Data'!$I106)</f>
        <v>589000</v>
      </c>
      <c r="K106" s="15">
        <f>PRODUCT('Cleaned Data'!$G106,'Cleaned Data'!$H106)</f>
        <v>580000</v>
      </c>
      <c r="L106" s="15">
        <f>('Cleaned Data'!$J106-'Cleaned Data'!$K106)</f>
        <v>9000</v>
      </c>
      <c r="M106" s="23">
        <f>('Cleaned Data'!$L106/'Cleaned Data'!$J106)</f>
        <v>1.5280135823429542E-2</v>
      </c>
      <c r="N106" s="5" t="str">
        <f>IF('Cleaned Data'!$G106&gt;10,"High-Volume","Low-Volume")</f>
        <v>Low-Volume</v>
      </c>
      <c r="O106" s="5" t="str">
        <f>IF('Cleaned Data'!$I106&gt;=100000,"Premium","Standard")</f>
        <v>Premium</v>
      </c>
      <c r="P106" s="56" t="str">
        <f>IF(Zen_Elite_Shoe_Sales[[#This Row],[Revenue]]&gt;=1000000,"Top Performer","Average Performer")</f>
        <v>Average Performer</v>
      </c>
    </row>
    <row r="107" spans="1:16" x14ac:dyDescent="0.35">
      <c r="A107" s="47">
        <v>46128</v>
      </c>
      <c r="B107" s="29" t="s">
        <v>67</v>
      </c>
      <c r="C107" s="29" t="s">
        <v>15</v>
      </c>
      <c r="D107" s="29" t="s">
        <v>11</v>
      </c>
      <c r="E107" s="29" t="s">
        <v>47</v>
      </c>
      <c r="F107" s="29" t="s">
        <v>43</v>
      </c>
      <c r="G107" s="10">
        <v>7</v>
      </c>
      <c r="H107" s="16">
        <v>57000</v>
      </c>
      <c r="I107" s="16">
        <v>63000</v>
      </c>
      <c r="J107" s="16">
        <f>PRODUCT('Cleaned Data'!$G107,'Cleaned Data'!$I107)</f>
        <v>441000</v>
      </c>
      <c r="K107" s="16">
        <f>PRODUCT('Cleaned Data'!$G107,'Cleaned Data'!$H107)</f>
        <v>399000</v>
      </c>
      <c r="L107" s="16">
        <f>('Cleaned Data'!$J107-'Cleaned Data'!$K107)</f>
        <v>42000</v>
      </c>
      <c r="M107" s="24">
        <f>('Cleaned Data'!$L107/'Cleaned Data'!$J107)</f>
        <v>9.5238095238095233E-2</v>
      </c>
      <c r="N107" s="9" t="str">
        <f>IF('Cleaned Data'!$G107&gt;10,"High-Volume","Low-Volume")</f>
        <v>Low-Volume</v>
      </c>
      <c r="O107" s="9" t="str">
        <f>IF('Cleaned Data'!$I107&gt;=100000,"Premium","Standard")</f>
        <v>Standard</v>
      </c>
      <c r="P107" s="56" t="str">
        <f>IF(Zen_Elite_Shoe_Sales[[#This Row],[Revenue]]&gt;=1000000,"Top Performer","Average Performer")</f>
        <v>Average Performer</v>
      </c>
    </row>
    <row r="108" spans="1:16" x14ac:dyDescent="0.35">
      <c r="A108" s="46">
        <v>46129</v>
      </c>
      <c r="B108" s="28" t="s">
        <v>19</v>
      </c>
      <c r="C108" s="28" t="s">
        <v>50</v>
      </c>
      <c r="D108" s="28" t="s">
        <v>16</v>
      </c>
      <c r="E108" s="28" t="s">
        <v>71</v>
      </c>
      <c r="F108" s="28" t="s">
        <v>45</v>
      </c>
      <c r="G108" s="6">
        <v>15</v>
      </c>
      <c r="H108" s="15">
        <v>40000</v>
      </c>
      <c r="I108" s="15">
        <v>45000</v>
      </c>
      <c r="J108" s="15">
        <f>PRODUCT('Cleaned Data'!$G108,'Cleaned Data'!$I108)</f>
        <v>675000</v>
      </c>
      <c r="K108" s="15">
        <f>PRODUCT('Cleaned Data'!$G108,'Cleaned Data'!$H108)</f>
        <v>600000</v>
      </c>
      <c r="L108" s="15">
        <f>('Cleaned Data'!$J108-'Cleaned Data'!$K108)</f>
        <v>75000</v>
      </c>
      <c r="M108" s="23">
        <f>('Cleaned Data'!$L108/'Cleaned Data'!$J108)</f>
        <v>0.1111111111111111</v>
      </c>
      <c r="N108" s="5" t="str">
        <f>IF('Cleaned Data'!$G108&gt;10,"High-Volume","Low-Volume")</f>
        <v>High-Volume</v>
      </c>
      <c r="O108" s="5" t="str">
        <f>IF('Cleaned Data'!$I108&gt;=100000,"Premium","Standard")</f>
        <v>Standard</v>
      </c>
      <c r="P108" s="56" t="str">
        <f>IF(Zen_Elite_Shoe_Sales[[#This Row],[Revenue]]&gt;=1000000,"Top Performer","Average Performer")</f>
        <v>Average Performer</v>
      </c>
    </row>
    <row r="109" spans="1:16" x14ac:dyDescent="0.35">
      <c r="A109" s="47">
        <v>46130</v>
      </c>
      <c r="B109" s="29" t="s">
        <v>53</v>
      </c>
      <c r="C109" s="29" t="s">
        <v>15</v>
      </c>
      <c r="D109" s="29" t="s">
        <v>21</v>
      </c>
      <c r="E109" s="29" t="s">
        <v>27</v>
      </c>
      <c r="F109" s="29" t="s">
        <v>48</v>
      </c>
      <c r="G109" s="10">
        <v>13</v>
      </c>
      <c r="H109" s="16">
        <v>71000</v>
      </c>
      <c r="I109" s="16">
        <v>74000</v>
      </c>
      <c r="J109" s="16">
        <f>PRODUCT('Cleaned Data'!$G109,'Cleaned Data'!$I109)</f>
        <v>962000</v>
      </c>
      <c r="K109" s="16">
        <f>PRODUCT('Cleaned Data'!$G109,'Cleaned Data'!$H109)</f>
        <v>923000</v>
      </c>
      <c r="L109" s="16">
        <f>('Cleaned Data'!$J109-'Cleaned Data'!$K109)</f>
        <v>39000</v>
      </c>
      <c r="M109" s="24">
        <f>('Cleaned Data'!$L109/'Cleaned Data'!$J109)</f>
        <v>4.0540540540540543E-2</v>
      </c>
      <c r="N109" s="9" t="str">
        <f>IF('Cleaned Data'!$G109&gt;10,"High-Volume","Low-Volume")</f>
        <v>High-Volume</v>
      </c>
      <c r="O109" s="9" t="str">
        <f>IF('Cleaned Data'!$I109&gt;=100000,"Premium","Standard")</f>
        <v>Standard</v>
      </c>
      <c r="P109" s="56" t="str">
        <f>IF(Zen_Elite_Shoe_Sales[[#This Row],[Revenue]]&gt;=1000000,"Top Performer","Average Performer")</f>
        <v>Average Performer</v>
      </c>
    </row>
    <row r="110" spans="1:16" x14ac:dyDescent="0.35">
      <c r="A110" s="46">
        <v>46131</v>
      </c>
      <c r="B110" s="28" t="s">
        <v>73</v>
      </c>
      <c r="C110" s="28" t="s">
        <v>30</v>
      </c>
      <c r="D110" s="28" t="s">
        <v>26</v>
      </c>
      <c r="E110" s="28" t="s">
        <v>59</v>
      </c>
      <c r="F110" s="28" t="s">
        <v>52</v>
      </c>
      <c r="G110" s="6">
        <v>13</v>
      </c>
      <c r="H110" s="15">
        <v>70000</v>
      </c>
      <c r="I110" s="15">
        <v>76500</v>
      </c>
      <c r="J110" s="15">
        <f>PRODUCT('Cleaned Data'!$G110,'Cleaned Data'!$I110)</f>
        <v>994500</v>
      </c>
      <c r="K110" s="15">
        <f>PRODUCT('Cleaned Data'!$G110,'Cleaned Data'!$H110)</f>
        <v>910000</v>
      </c>
      <c r="L110" s="15">
        <f>('Cleaned Data'!$J110-'Cleaned Data'!$K110)</f>
        <v>84500</v>
      </c>
      <c r="M110" s="23">
        <f>('Cleaned Data'!$L110/'Cleaned Data'!$J110)</f>
        <v>8.4967320261437912E-2</v>
      </c>
      <c r="N110" s="5" t="str">
        <f>IF('Cleaned Data'!$G110&gt;10,"High-Volume","Low-Volume")</f>
        <v>High-Volume</v>
      </c>
      <c r="O110" s="5" t="str">
        <f>IF('Cleaned Data'!$I110&gt;=100000,"Premium","Standard")</f>
        <v>Standard</v>
      </c>
      <c r="P110" s="56" t="str">
        <f>IF(Zen_Elite_Shoe_Sales[[#This Row],[Revenue]]&gt;=1000000,"Top Performer","Average Performer")</f>
        <v>Average Performer</v>
      </c>
    </row>
    <row r="111" spans="1:16" x14ac:dyDescent="0.35">
      <c r="A111" s="46">
        <v>46132</v>
      </c>
      <c r="B111" s="28" t="s">
        <v>34</v>
      </c>
      <c r="C111" s="28" t="s">
        <v>41</v>
      </c>
      <c r="D111" s="28" t="s">
        <v>31</v>
      </c>
      <c r="E111" s="28" t="s">
        <v>12</v>
      </c>
      <c r="F111" s="28" t="s">
        <v>56</v>
      </c>
      <c r="G111" s="6">
        <v>8</v>
      </c>
      <c r="H111" s="15">
        <v>103000</v>
      </c>
      <c r="I111" s="15">
        <v>104800</v>
      </c>
      <c r="J111" s="15">
        <f>PRODUCT('Cleaned Data'!$G111,'Cleaned Data'!$I111)</f>
        <v>838400</v>
      </c>
      <c r="K111" s="15">
        <f>PRODUCT('Cleaned Data'!$G111,'Cleaned Data'!$H111)</f>
        <v>824000</v>
      </c>
      <c r="L111" s="15">
        <f>('Cleaned Data'!$J111-'Cleaned Data'!$K111)</f>
        <v>14400</v>
      </c>
      <c r="M111" s="23">
        <f>('Cleaned Data'!$L111/'Cleaned Data'!$J111)</f>
        <v>1.717557251908397E-2</v>
      </c>
      <c r="N111" s="5" t="str">
        <f>IF('Cleaned Data'!$G111&gt;10,"High-Volume","Low-Volume")</f>
        <v>Low-Volume</v>
      </c>
      <c r="O111" s="5" t="str">
        <f>IF('Cleaned Data'!$I111&gt;=100000,"Premium","Standard")</f>
        <v>Premium</v>
      </c>
      <c r="P111" s="56" t="str">
        <f>IF(Zen_Elite_Shoe_Sales[[#This Row],[Revenue]]&gt;=1000000,"Top Performer","Average Performer")</f>
        <v>Average Performer</v>
      </c>
    </row>
    <row r="112" spans="1:16" x14ac:dyDescent="0.35">
      <c r="A112" s="46">
        <v>46133</v>
      </c>
      <c r="B112" s="28" t="s">
        <v>64</v>
      </c>
      <c r="C112" s="28" t="s">
        <v>41</v>
      </c>
      <c r="D112" s="28" t="s">
        <v>11</v>
      </c>
      <c r="E112" s="28" t="s">
        <v>12</v>
      </c>
      <c r="F112" s="28" t="s">
        <v>60</v>
      </c>
      <c r="G112" s="6">
        <v>15</v>
      </c>
      <c r="H112" s="15">
        <v>93000</v>
      </c>
      <c r="I112" s="15">
        <v>94800</v>
      </c>
      <c r="J112" s="15">
        <f>PRODUCT('Cleaned Data'!$G112,'Cleaned Data'!$I112)</f>
        <v>1422000</v>
      </c>
      <c r="K112" s="15">
        <f>PRODUCT('Cleaned Data'!$G112,'Cleaned Data'!$H112)</f>
        <v>1395000</v>
      </c>
      <c r="L112" s="15">
        <f>('Cleaned Data'!$J112-'Cleaned Data'!$K112)</f>
        <v>27000</v>
      </c>
      <c r="M112" s="23">
        <f>('Cleaned Data'!$L112/'Cleaned Data'!$J112)</f>
        <v>1.8987341772151899E-2</v>
      </c>
      <c r="N112" s="5" t="str">
        <f>IF('Cleaned Data'!$G112&gt;10,"High-Volume","Low-Volume")</f>
        <v>High-Volume</v>
      </c>
      <c r="O112" s="5" t="str">
        <f>IF('Cleaned Data'!$I112&gt;=100000,"Premium","Standard")</f>
        <v>Standard</v>
      </c>
      <c r="P112" s="56" t="str">
        <f>IF(Zen_Elite_Shoe_Sales[[#This Row],[Revenue]]&gt;=1000000,"Top Performer","Average Performer")</f>
        <v>Top Performer</v>
      </c>
    </row>
    <row r="113" spans="1:16" x14ac:dyDescent="0.35">
      <c r="A113" s="46">
        <v>46134</v>
      </c>
      <c r="B113" s="28" t="s">
        <v>78</v>
      </c>
      <c r="C113" s="28" t="s">
        <v>41</v>
      </c>
      <c r="D113" s="28" t="s">
        <v>16</v>
      </c>
      <c r="E113" s="28" t="s">
        <v>27</v>
      </c>
      <c r="F113" s="28" t="s">
        <v>63</v>
      </c>
      <c r="G113" s="6">
        <v>9</v>
      </c>
      <c r="H113" s="15">
        <v>119000</v>
      </c>
      <c r="I113" s="15">
        <v>120800</v>
      </c>
      <c r="J113" s="15">
        <f>PRODUCT('Cleaned Data'!$G113,'Cleaned Data'!$I113)</f>
        <v>1087200</v>
      </c>
      <c r="K113" s="15">
        <f>PRODUCT('Cleaned Data'!$G113,'Cleaned Data'!$H113)</f>
        <v>1071000</v>
      </c>
      <c r="L113" s="15">
        <f>('Cleaned Data'!$J113-'Cleaned Data'!$K113)</f>
        <v>16200</v>
      </c>
      <c r="M113" s="23">
        <f>('Cleaned Data'!$L113/'Cleaned Data'!$J113)</f>
        <v>1.4900662251655629E-2</v>
      </c>
      <c r="N113" s="5" t="str">
        <f>IF('Cleaned Data'!$G113&gt;10,"High-Volume","Low-Volume")</f>
        <v>Low-Volume</v>
      </c>
      <c r="O113" s="5" t="str">
        <f>IF('Cleaned Data'!$I113&gt;=100000,"Premium","Standard")</f>
        <v>Premium</v>
      </c>
      <c r="P113" s="56" t="str">
        <f>IF(Zen_Elite_Shoe_Sales[[#This Row],[Revenue]]&gt;=1000000,"Top Performer","Average Performer")</f>
        <v>Top Performer</v>
      </c>
    </row>
    <row r="114" spans="1:16" x14ac:dyDescent="0.35">
      <c r="A114" s="46">
        <v>46135</v>
      </c>
      <c r="B114" s="28" t="s">
        <v>44</v>
      </c>
      <c r="C114" s="28" t="s">
        <v>41</v>
      </c>
      <c r="D114" s="28" t="s">
        <v>21</v>
      </c>
      <c r="E114" s="28" t="s">
        <v>12</v>
      </c>
      <c r="F114" s="28" t="s">
        <v>13</v>
      </c>
      <c r="G114" s="6">
        <v>4</v>
      </c>
      <c r="H114" s="15">
        <v>110000</v>
      </c>
      <c r="I114" s="15">
        <v>111800</v>
      </c>
      <c r="J114" s="15">
        <f>PRODUCT('Cleaned Data'!$G114,'Cleaned Data'!$I114)</f>
        <v>447200</v>
      </c>
      <c r="K114" s="15">
        <f>PRODUCT('Cleaned Data'!$G114,'Cleaned Data'!$H114)</f>
        <v>440000</v>
      </c>
      <c r="L114" s="15">
        <f>('Cleaned Data'!$J114-'Cleaned Data'!$K114)</f>
        <v>7200</v>
      </c>
      <c r="M114" s="23">
        <f>('Cleaned Data'!$L114/'Cleaned Data'!$J114)</f>
        <v>1.6100178890876567E-2</v>
      </c>
      <c r="N114" s="5" t="str">
        <f>IF('Cleaned Data'!$G114&gt;10,"High-Volume","Low-Volume")</f>
        <v>Low-Volume</v>
      </c>
      <c r="O114" s="5" t="str">
        <f>IF('Cleaned Data'!$I114&gt;=100000,"Premium","Standard")</f>
        <v>Premium</v>
      </c>
      <c r="P114" s="56" t="str">
        <f>IF(Zen_Elite_Shoe_Sales[[#This Row],[Revenue]]&gt;=1000000,"Top Performer","Average Performer")</f>
        <v>Average Performer</v>
      </c>
    </row>
    <row r="115" spans="1:16" x14ac:dyDescent="0.35">
      <c r="A115" s="46">
        <v>46136</v>
      </c>
      <c r="B115" s="28" t="s">
        <v>67</v>
      </c>
      <c r="C115" s="28" t="s">
        <v>15</v>
      </c>
      <c r="D115" s="28" t="s">
        <v>26</v>
      </c>
      <c r="E115" s="28" t="s">
        <v>47</v>
      </c>
      <c r="F115" s="28" t="s">
        <v>18</v>
      </c>
      <c r="G115" s="6">
        <v>15</v>
      </c>
      <c r="H115" s="15">
        <v>54000</v>
      </c>
      <c r="I115" s="15">
        <v>60000</v>
      </c>
      <c r="J115" s="15">
        <f>PRODUCT('Cleaned Data'!$G115,'Cleaned Data'!$I115)</f>
        <v>900000</v>
      </c>
      <c r="K115" s="15">
        <f>PRODUCT('Cleaned Data'!$G115,'Cleaned Data'!$H115)</f>
        <v>810000</v>
      </c>
      <c r="L115" s="15">
        <f>('Cleaned Data'!$J115-'Cleaned Data'!$K115)</f>
        <v>90000</v>
      </c>
      <c r="M115" s="23">
        <f>('Cleaned Data'!$L115/'Cleaned Data'!$J115)</f>
        <v>0.1</v>
      </c>
      <c r="N115" s="5" t="str">
        <f>IF('Cleaned Data'!$G115&gt;10,"High-Volume","Low-Volume")</f>
        <v>High-Volume</v>
      </c>
      <c r="O115" s="5" t="str">
        <f>IF('Cleaned Data'!$I115&gt;=100000,"Premium","Standard")</f>
        <v>Standard</v>
      </c>
      <c r="P115" s="56" t="str">
        <f>IF(Zen_Elite_Shoe_Sales[[#This Row],[Revenue]]&gt;=1000000,"Top Performer","Average Performer")</f>
        <v>Average Performer</v>
      </c>
    </row>
    <row r="116" spans="1:16" x14ac:dyDescent="0.35">
      <c r="A116" s="46">
        <v>46137</v>
      </c>
      <c r="B116" s="28" t="s">
        <v>19</v>
      </c>
      <c r="C116" s="28" t="s">
        <v>50</v>
      </c>
      <c r="D116" s="28" t="s">
        <v>31</v>
      </c>
      <c r="E116" s="28" t="s">
        <v>71</v>
      </c>
      <c r="F116" s="28" t="s">
        <v>23</v>
      </c>
      <c r="G116" s="6">
        <v>4</v>
      </c>
      <c r="H116" s="15">
        <v>54000</v>
      </c>
      <c r="I116" s="15">
        <v>60000</v>
      </c>
      <c r="J116" s="15">
        <f>PRODUCT('Cleaned Data'!$G116,'Cleaned Data'!$I116)</f>
        <v>240000</v>
      </c>
      <c r="K116" s="15">
        <f>PRODUCT('Cleaned Data'!$G116,'Cleaned Data'!$H116)</f>
        <v>216000</v>
      </c>
      <c r="L116" s="15">
        <f>('Cleaned Data'!$J116-'Cleaned Data'!$K116)</f>
        <v>24000</v>
      </c>
      <c r="M116" s="23">
        <f>('Cleaned Data'!$L116/'Cleaned Data'!$J116)</f>
        <v>0.1</v>
      </c>
      <c r="N116" s="5" t="str">
        <f>IF('Cleaned Data'!$G116&gt;10,"High-Volume","Low-Volume")</f>
        <v>Low-Volume</v>
      </c>
      <c r="O116" s="5" t="str">
        <f>IF('Cleaned Data'!$I116&gt;=100000,"Premium","Standard")</f>
        <v>Standard</v>
      </c>
      <c r="P116" s="56" t="str">
        <f>IF(Zen_Elite_Shoe_Sales[[#This Row],[Revenue]]&gt;=1000000,"Top Performer","Average Performer")</f>
        <v>Average Performer</v>
      </c>
    </row>
    <row r="117" spans="1:16" x14ac:dyDescent="0.35">
      <c r="A117" s="46">
        <v>46138</v>
      </c>
      <c r="B117" s="28" t="s">
        <v>53</v>
      </c>
      <c r="C117" s="28" t="s">
        <v>15</v>
      </c>
      <c r="D117" s="28" t="s">
        <v>11</v>
      </c>
      <c r="E117" s="28" t="s">
        <v>27</v>
      </c>
      <c r="F117" s="28" t="s">
        <v>28</v>
      </c>
      <c r="G117" s="6">
        <v>3</v>
      </c>
      <c r="H117" s="15">
        <v>73000</v>
      </c>
      <c r="I117" s="15">
        <v>76000</v>
      </c>
      <c r="J117" s="15">
        <f>PRODUCT('Cleaned Data'!$G117,'Cleaned Data'!$I117)</f>
        <v>228000</v>
      </c>
      <c r="K117" s="15">
        <f>PRODUCT('Cleaned Data'!$G117,'Cleaned Data'!$H117)</f>
        <v>219000</v>
      </c>
      <c r="L117" s="15">
        <f>('Cleaned Data'!$J117-'Cleaned Data'!$K117)</f>
        <v>9000</v>
      </c>
      <c r="M117" s="23">
        <f>('Cleaned Data'!$L117/'Cleaned Data'!$J117)</f>
        <v>3.9473684210526314E-2</v>
      </c>
      <c r="N117" s="5" t="str">
        <f>IF('Cleaned Data'!$G117&gt;10,"High-Volume","Low-Volume")</f>
        <v>Low-Volume</v>
      </c>
      <c r="O117" s="5" t="str">
        <f>IF('Cleaned Data'!$I117&gt;=100000,"Premium","Standard")</f>
        <v>Standard</v>
      </c>
      <c r="P117" s="56" t="str">
        <f>IF(Zen_Elite_Shoe_Sales[[#This Row],[Revenue]]&gt;=1000000,"Top Performer","Average Performer")</f>
        <v>Average Performer</v>
      </c>
    </row>
    <row r="118" spans="1:16" x14ac:dyDescent="0.35">
      <c r="A118" s="46">
        <v>46139</v>
      </c>
      <c r="B118" s="28" t="s">
        <v>73</v>
      </c>
      <c r="C118" s="28" t="s">
        <v>30</v>
      </c>
      <c r="D118" s="28" t="s">
        <v>16</v>
      </c>
      <c r="E118" s="28" t="s">
        <v>59</v>
      </c>
      <c r="F118" s="28" t="s">
        <v>33</v>
      </c>
      <c r="G118" s="6">
        <v>12</v>
      </c>
      <c r="H118" s="15">
        <v>76000</v>
      </c>
      <c r="I118" s="15">
        <v>79000</v>
      </c>
      <c r="J118" s="15">
        <f>PRODUCT('Cleaned Data'!$G118,'Cleaned Data'!$I118)</f>
        <v>948000</v>
      </c>
      <c r="K118" s="15">
        <f>PRODUCT('Cleaned Data'!$G118,'Cleaned Data'!$H118)</f>
        <v>912000</v>
      </c>
      <c r="L118" s="15">
        <f>('Cleaned Data'!$J118-'Cleaned Data'!$K118)</f>
        <v>36000</v>
      </c>
      <c r="M118" s="23">
        <f>('Cleaned Data'!$L118/'Cleaned Data'!$J118)</f>
        <v>3.7974683544303799E-2</v>
      </c>
      <c r="N118" s="5" t="str">
        <f>IF('Cleaned Data'!$G118&gt;10,"High-Volume","Low-Volume")</f>
        <v>High-Volume</v>
      </c>
      <c r="O118" s="5" t="str">
        <f>IF('Cleaned Data'!$I118&gt;=100000,"Premium","Standard")</f>
        <v>Standard</v>
      </c>
      <c r="P118" s="56" t="str">
        <f>IF(Zen_Elite_Shoe_Sales[[#This Row],[Revenue]]&gt;=1000000,"Top Performer","Average Performer")</f>
        <v>Average Performer</v>
      </c>
    </row>
    <row r="119" spans="1:16" x14ac:dyDescent="0.35">
      <c r="A119" s="46">
        <v>46140</v>
      </c>
      <c r="B119" s="28" t="s">
        <v>34</v>
      </c>
      <c r="C119" s="28" t="s">
        <v>41</v>
      </c>
      <c r="D119" s="28" t="s">
        <v>21</v>
      </c>
      <c r="E119" s="28" t="s">
        <v>12</v>
      </c>
      <c r="F119" s="28" t="s">
        <v>37</v>
      </c>
      <c r="G119" s="6">
        <v>9</v>
      </c>
      <c r="H119" s="15">
        <v>105000</v>
      </c>
      <c r="I119" s="15">
        <v>106800</v>
      </c>
      <c r="J119" s="15">
        <f>PRODUCT('Cleaned Data'!$G119,'Cleaned Data'!$I119)</f>
        <v>961200</v>
      </c>
      <c r="K119" s="15">
        <f>PRODUCT('Cleaned Data'!$G119,'Cleaned Data'!$H119)</f>
        <v>945000</v>
      </c>
      <c r="L119" s="15">
        <f>('Cleaned Data'!$J119-'Cleaned Data'!$K119)</f>
        <v>16200</v>
      </c>
      <c r="M119" s="23">
        <f>('Cleaned Data'!$L119/'Cleaned Data'!$J119)</f>
        <v>1.6853932584269662E-2</v>
      </c>
      <c r="N119" s="5" t="str">
        <f>IF('Cleaned Data'!$G119&gt;10,"High-Volume","Low-Volume")</f>
        <v>Low-Volume</v>
      </c>
      <c r="O119" s="5" t="str">
        <f>IF('Cleaned Data'!$I119&gt;=100000,"Premium","Standard")</f>
        <v>Premium</v>
      </c>
      <c r="P119" s="56" t="str">
        <f>IF(Zen_Elite_Shoe_Sales[[#This Row],[Revenue]]&gt;=1000000,"Top Performer","Average Performer")</f>
        <v>Average Performer</v>
      </c>
    </row>
    <row r="120" spans="1:16" x14ac:dyDescent="0.35">
      <c r="A120" s="46">
        <v>46141</v>
      </c>
      <c r="B120" s="28" t="s">
        <v>64</v>
      </c>
      <c r="C120" s="28" t="s">
        <v>41</v>
      </c>
      <c r="D120" s="28" t="s">
        <v>26</v>
      </c>
      <c r="E120" s="28" t="s">
        <v>12</v>
      </c>
      <c r="F120" s="28" t="s">
        <v>39</v>
      </c>
      <c r="G120" s="6">
        <v>9</v>
      </c>
      <c r="H120" s="15">
        <v>99000</v>
      </c>
      <c r="I120" s="15">
        <v>100800</v>
      </c>
      <c r="J120" s="15">
        <f>PRODUCT('Cleaned Data'!$G120,'Cleaned Data'!$I120)</f>
        <v>907200</v>
      </c>
      <c r="K120" s="15">
        <f>PRODUCT('Cleaned Data'!$G120,'Cleaned Data'!$H120)</f>
        <v>891000</v>
      </c>
      <c r="L120" s="15">
        <f>('Cleaned Data'!$J120-'Cleaned Data'!$K120)</f>
        <v>16200</v>
      </c>
      <c r="M120" s="23">
        <f>('Cleaned Data'!$L120/'Cleaned Data'!$J120)</f>
        <v>1.7857142857142856E-2</v>
      </c>
      <c r="N120" s="5" t="str">
        <f>IF('Cleaned Data'!$G120&gt;10,"High-Volume","Low-Volume")</f>
        <v>Low-Volume</v>
      </c>
      <c r="O120" s="5" t="str">
        <f>IF('Cleaned Data'!$I120&gt;=100000,"Premium","Standard")</f>
        <v>Premium</v>
      </c>
      <c r="P120" s="56" t="str">
        <f>IF(Zen_Elite_Shoe_Sales[[#This Row],[Revenue]]&gt;=1000000,"Top Performer","Average Performer")</f>
        <v>Average Performer</v>
      </c>
    </row>
    <row r="121" spans="1:16" x14ac:dyDescent="0.35">
      <c r="A121" s="46">
        <v>46142</v>
      </c>
      <c r="B121" s="28" t="s">
        <v>78</v>
      </c>
      <c r="C121" s="28" t="s">
        <v>41</v>
      </c>
      <c r="D121" s="28" t="s">
        <v>31</v>
      </c>
      <c r="E121" s="28" t="s">
        <v>27</v>
      </c>
      <c r="F121" s="28" t="s">
        <v>43</v>
      </c>
      <c r="G121" s="6">
        <v>8</v>
      </c>
      <c r="H121" s="15">
        <v>115000</v>
      </c>
      <c r="I121" s="15">
        <v>116800</v>
      </c>
      <c r="J121" s="15">
        <f>PRODUCT('Cleaned Data'!$G121,'Cleaned Data'!$I121)</f>
        <v>934400</v>
      </c>
      <c r="K121" s="15">
        <f>PRODUCT('Cleaned Data'!$G121,'Cleaned Data'!$H121)</f>
        <v>920000</v>
      </c>
      <c r="L121" s="15">
        <f>('Cleaned Data'!$J121-'Cleaned Data'!$K121)</f>
        <v>14400</v>
      </c>
      <c r="M121" s="23">
        <f>('Cleaned Data'!$L121/'Cleaned Data'!$J121)</f>
        <v>1.5410958904109588E-2</v>
      </c>
      <c r="N121" s="5" t="str">
        <f>IF('Cleaned Data'!$G121&gt;10,"High-Volume","Low-Volume")</f>
        <v>Low-Volume</v>
      </c>
      <c r="O121" s="5" t="str">
        <f>IF('Cleaned Data'!$I121&gt;=100000,"Premium","Standard")</f>
        <v>Premium</v>
      </c>
      <c r="P121" s="56" t="str">
        <f>IF(Zen_Elite_Shoe_Sales[[#This Row],[Revenue]]&gt;=1000000,"Top Performer","Average Performer")</f>
        <v>Average Performer</v>
      </c>
    </row>
    <row r="122" spans="1:16" x14ac:dyDescent="0.35">
      <c r="A122" s="46">
        <v>46143</v>
      </c>
      <c r="B122" s="28" t="s">
        <v>44</v>
      </c>
      <c r="C122" s="28" t="s">
        <v>41</v>
      </c>
      <c r="D122" s="28" t="s">
        <v>11</v>
      </c>
      <c r="E122" s="28" t="s">
        <v>12</v>
      </c>
      <c r="F122" s="28" t="s">
        <v>45</v>
      </c>
      <c r="G122" s="6">
        <v>8</v>
      </c>
      <c r="H122" s="15">
        <v>102000</v>
      </c>
      <c r="I122" s="15">
        <v>103800</v>
      </c>
      <c r="J122" s="15">
        <f>PRODUCT('Cleaned Data'!$G122,'Cleaned Data'!$I122)</f>
        <v>830400</v>
      </c>
      <c r="K122" s="15">
        <f>PRODUCT('Cleaned Data'!$G122,'Cleaned Data'!$H122)</f>
        <v>816000</v>
      </c>
      <c r="L122" s="15">
        <f>('Cleaned Data'!$J122-'Cleaned Data'!$K122)</f>
        <v>14400</v>
      </c>
      <c r="M122" s="23">
        <f>('Cleaned Data'!$L122/'Cleaned Data'!$J122)</f>
        <v>1.7341040462427744E-2</v>
      </c>
      <c r="N122" s="5" t="str">
        <f>IF('Cleaned Data'!$G122&gt;10,"High-Volume","Low-Volume")</f>
        <v>Low-Volume</v>
      </c>
      <c r="O122" s="5" t="str">
        <f>IF('Cleaned Data'!$I122&gt;=100000,"Premium","Standard")</f>
        <v>Premium</v>
      </c>
      <c r="P122" s="56" t="str">
        <f>IF(Zen_Elite_Shoe_Sales[[#This Row],[Revenue]]&gt;=1000000,"Top Performer","Average Performer")</f>
        <v>Average Performer</v>
      </c>
    </row>
    <row r="123" spans="1:16" x14ac:dyDescent="0.35">
      <c r="A123" s="46">
        <v>46144</v>
      </c>
      <c r="B123" s="28" t="s">
        <v>67</v>
      </c>
      <c r="C123" s="28" t="s">
        <v>15</v>
      </c>
      <c r="D123" s="28" t="s">
        <v>16</v>
      </c>
      <c r="E123" s="28" t="s">
        <v>47</v>
      </c>
      <c r="F123" s="28" t="s">
        <v>48</v>
      </c>
      <c r="G123" s="6">
        <v>4</v>
      </c>
      <c r="H123" s="15">
        <v>64000</v>
      </c>
      <c r="I123" s="15">
        <v>70500</v>
      </c>
      <c r="J123" s="15">
        <f>PRODUCT('Cleaned Data'!$G123,'Cleaned Data'!$I123)</f>
        <v>282000</v>
      </c>
      <c r="K123" s="15">
        <f>PRODUCT('Cleaned Data'!$G123,'Cleaned Data'!$H123)</f>
        <v>256000</v>
      </c>
      <c r="L123" s="15">
        <f>('Cleaned Data'!$J123-'Cleaned Data'!$K123)</f>
        <v>26000</v>
      </c>
      <c r="M123" s="23">
        <f>('Cleaned Data'!$L123/'Cleaned Data'!$J123)</f>
        <v>9.2198581560283682E-2</v>
      </c>
      <c r="N123" s="5" t="str">
        <f>IF('Cleaned Data'!$G123&gt;10,"High-Volume","Low-Volume")</f>
        <v>Low-Volume</v>
      </c>
      <c r="O123" s="5" t="str">
        <f>IF('Cleaned Data'!$I123&gt;=100000,"Premium","Standard")</f>
        <v>Standard</v>
      </c>
      <c r="P123" s="56" t="str">
        <f>IF(Zen_Elite_Shoe_Sales[[#This Row],[Revenue]]&gt;=1000000,"Top Performer","Average Performer")</f>
        <v>Average Performer</v>
      </c>
    </row>
    <row r="124" spans="1:16" x14ac:dyDescent="0.35">
      <c r="A124" s="46">
        <v>46145</v>
      </c>
      <c r="B124" s="28" t="s">
        <v>19</v>
      </c>
      <c r="C124" s="28" t="s">
        <v>50</v>
      </c>
      <c r="D124" s="28" t="s">
        <v>21</v>
      </c>
      <c r="E124" s="28" t="s">
        <v>71</v>
      </c>
      <c r="F124" s="28" t="s">
        <v>52</v>
      </c>
      <c r="G124" s="6">
        <v>4</v>
      </c>
      <c r="H124" s="15">
        <v>40000</v>
      </c>
      <c r="I124" s="15">
        <v>45000</v>
      </c>
      <c r="J124" s="15">
        <f>PRODUCT('Cleaned Data'!$G124,'Cleaned Data'!$I124)</f>
        <v>180000</v>
      </c>
      <c r="K124" s="15">
        <f>PRODUCT('Cleaned Data'!$G124,'Cleaned Data'!$H124)</f>
        <v>160000</v>
      </c>
      <c r="L124" s="15">
        <f>('Cleaned Data'!$J124-'Cleaned Data'!$K124)</f>
        <v>20000</v>
      </c>
      <c r="M124" s="23">
        <f>('Cleaned Data'!$L124/'Cleaned Data'!$J124)</f>
        <v>0.1111111111111111</v>
      </c>
      <c r="N124" s="5" t="str">
        <f>IF('Cleaned Data'!$G124&gt;10,"High-Volume","Low-Volume")</f>
        <v>Low-Volume</v>
      </c>
      <c r="O124" s="5" t="str">
        <f>IF('Cleaned Data'!$I124&gt;=100000,"Premium","Standard")</f>
        <v>Standard</v>
      </c>
      <c r="P124" s="56" t="str">
        <f>IF(Zen_Elite_Shoe_Sales[[#This Row],[Revenue]]&gt;=1000000,"Top Performer","Average Performer")</f>
        <v>Average Performer</v>
      </c>
    </row>
    <row r="125" spans="1:16" x14ac:dyDescent="0.35">
      <c r="A125" s="46">
        <v>46146</v>
      </c>
      <c r="B125" s="28" t="s">
        <v>53</v>
      </c>
      <c r="C125" s="28" t="s">
        <v>15</v>
      </c>
      <c r="D125" s="28" t="s">
        <v>26</v>
      </c>
      <c r="E125" s="28" t="s">
        <v>27</v>
      </c>
      <c r="F125" s="28" t="s">
        <v>56</v>
      </c>
      <c r="G125" s="6">
        <v>8</v>
      </c>
      <c r="H125" s="15">
        <v>66000</v>
      </c>
      <c r="I125" s="15">
        <v>72500</v>
      </c>
      <c r="J125" s="15">
        <f>PRODUCT('Cleaned Data'!$G125,'Cleaned Data'!$I125)</f>
        <v>580000</v>
      </c>
      <c r="K125" s="15">
        <f>PRODUCT('Cleaned Data'!$G125,'Cleaned Data'!$H125)</f>
        <v>528000</v>
      </c>
      <c r="L125" s="15">
        <f>('Cleaned Data'!$J125-'Cleaned Data'!$K125)</f>
        <v>52000</v>
      </c>
      <c r="M125" s="23">
        <f>('Cleaned Data'!$L125/'Cleaned Data'!$J125)</f>
        <v>8.9655172413793102E-2</v>
      </c>
      <c r="N125" s="5" t="str">
        <f>IF('Cleaned Data'!$G125&gt;10,"High-Volume","Low-Volume")</f>
        <v>Low-Volume</v>
      </c>
      <c r="O125" s="5" t="str">
        <f>IF('Cleaned Data'!$I125&gt;=100000,"Premium","Standard")</f>
        <v>Standard</v>
      </c>
      <c r="P125" s="56" t="str">
        <f>IF(Zen_Elite_Shoe_Sales[[#This Row],[Revenue]]&gt;=1000000,"Top Performer","Average Performer")</f>
        <v>Average Performer</v>
      </c>
    </row>
    <row r="126" spans="1:16" x14ac:dyDescent="0.35">
      <c r="A126" s="46">
        <v>46147</v>
      </c>
      <c r="B126" s="28" t="s">
        <v>73</v>
      </c>
      <c r="C126" s="28" t="s">
        <v>30</v>
      </c>
      <c r="D126" s="28" t="s">
        <v>31</v>
      </c>
      <c r="E126" s="28" t="s">
        <v>59</v>
      </c>
      <c r="F126" s="28" t="s">
        <v>60</v>
      </c>
      <c r="G126" s="6">
        <v>6</v>
      </c>
      <c r="H126" s="15">
        <v>71000</v>
      </c>
      <c r="I126" s="15">
        <v>74000</v>
      </c>
      <c r="J126" s="15">
        <f>PRODUCT('Cleaned Data'!$G126,'Cleaned Data'!$I126)</f>
        <v>444000</v>
      </c>
      <c r="K126" s="15">
        <f>PRODUCT('Cleaned Data'!$G126,'Cleaned Data'!$H126)</f>
        <v>426000</v>
      </c>
      <c r="L126" s="15">
        <f>('Cleaned Data'!$J126-'Cleaned Data'!$K126)</f>
        <v>18000</v>
      </c>
      <c r="M126" s="23">
        <f>('Cleaned Data'!$L126/'Cleaned Data'!$J126)</f>
        <v>4.0540540540540543E-2</v>
      </c>
      <c r="N126" s="5" t="str">
        <f>IF('Cleaned Data'!$G126&gt;10,"High-Volume","Low-Volume")</f>
        <v>Low-Volume</v>
      </c>
      <c r="O126" s="5" t="str">
        <f>IF('Cleaned Data'!$I126&gt;=100000,"Premium","Standard")</f>
        <v>Standard</v>
      </c>
      <c r="P126" s="56" t="str">
        <f>IF(Zen_Elite_Shoe_Sales[[#This Row],[Revenue]]&gt;=1000000,"Top Performer","Average Performer")</f>
        <v>Average Performer</v>
      </c>
    </row>
    <row r="127" spans="1:16" x14ac:dyDescent="0.35">
      <c r="A127" s="46">
        <v>46148</v>
      </c>
      <c r="B127" s="28" t="s">
        <v>34</v>
      </c>
      <c r="C127" s="28" t="s">
        <v>41</v>
      </c>
      <c r="D127" s="28" t="s">
        <v>11</v>
      </c>
      <c r="E127" s="28" t="s">
        <v>12</v>
      </c>
      <c r="F127" s="28" t="s">
        <v>63</v>
      </c>
      <c r="G127" s="6">
        <v>8</v>
      </c>
      <c r="H127" s="15">
        <v>104000</v>
      </c>
      <c r="I127" s="15">
        <v>105800</v>
      </c>
      <c r="J127" s="15">
        <f>PRODUCT('Cleaned Data'!$G127,'Cleaned Data'!$I127)</f>
        <v>846400</v>
      </c>
      <c r="K127" s="15">
        <f>PRODUCT('Cleaned Data'!$G127,'Cleaned Data'!$H127)</f>
        <v>832000</v>
      </c>
      <c r="L127" s="15">
        <f>('Cleaned Data'!$J127-'Cleaned Data'!$K127)</f>
        <v>14400</v>
      </c>
      <c r="M127" s="23">
        <f>('Cleaned Data'!$L127/'Cleaned Data'!$J127)</f>
        <v>1.7013232514177693E-2</v>
      </c>
      <c r="N127" s="5" t="str">
        <f>IF('Cleaned Data'!$G127&gt;10,"High-Volume","Low-Volume")</f>
        <v>Low-Volume</v>
      </c>
      <c r="O127" s="5" t="str">
        <f>IF('Cleaned Data'!$I127&gt;=100000,"Premium","Standard")</f>
        <v>Premium</v>
      </c>
      <c r="P127" s="56" t="str">
        <f>IF(Zen_Elite_Shoe_Sales[[#This Row],[Revenue]]&gt;=1000000,"Top Performer","Average Performer")</f>
        <v>Average Performer</v>
      </c>
    </row>
    <row r="128" spans="1:16" x14ac:dyDescent="0.35">
      <c r="A128" s="46">
        <v>46149</v>
      </c>
      <c r="B128" s="28" t="s">
        <v>64</v>
      </c>
      <c r="C128" s="28" t="s">
        <v>41</v>
      </c>
      <c r="D128" s="28" t="s">
        <v>16</v>
      </c>
      <c r="E128" s="28" t="s">
        <v>12</v>
      </c>
      <c r="F128" s="28" t="s">
        <v>13</v>
      </c>
      <c r="G128" s="6">
        <v>8</v>
      </c>
      <c r="H128" s="15">
        <v>99000</v>
      </c>
      <c r="I128" s="15">
        <v>100800</v>
      </c>
      <c r="J128" s="15">
        <f>PRODUCT('Cleaned Data'!$G128,'Cleaned Data'!$I128)</f>
        <v>806400</v>
      </c>
      <c r="K128" s="15">
        <f>PRODUCT('Cleaned Data'!$G128,'Cleaned Data'!$H128)</f>
        <v>792000</v>
      </c>
      <c r="L128" s="15">
        <f>('Cleaned Data'!$J128-'Cleaned Data'!$K128)</f>
        <v>14400</v>
      </c>
      <c r="M128" s="23">
        <f>('Cleaned Data'!$L128/'Cleaned Data'!$J128)</f>
        <v>1.7857142857142856E-2</v>
      </c>
      <c r="N128" s="5" t="str">
        <f>IF('Cleaned Data'!$G128&gt;10,"High-Volume","Low-Volume")</f>
        <v>Low-Volume</v>
      </c>
      <c r="O128" s="5" t="str">
        <f>IF('Cleaned Data'!$I128&gt;=100000,"Premium","Standard")</f>
        <v>Premium</v>
      </c>
      <c r="P128" s="56" t="str">
        <f>IF(Zen_Elite_Shoe_Sales[[#This Row],[Revenue]]&gt;=1000000,"Top Performer","Average Performer")</f>
        <v>Average Performer</v>
      </c>
    </row>
    <row r="129" spans="1:16" x14ac:dyDescent="0.35">
      <c r="A129" s="46">
        <v>46150</v>
      </c>
      <c r="B129" s="28" t="s">
        <v>78</v>
      </c>
      <c r="C129" s="28" t="s">
        <v>41</v>
      </c>
      <c r="D129" s="28" t="s">
        <v>21</v>
      </c>
      <c r="E129" s="28" t="s">
        <v>27</v>
      </c>
      <c r="F129" s="28" t="s">
        <v>18</v>
      </c>
      <c r="G129" s="6">
        <v>8</v>
      </c>
      <c r="H129" s="15">
        <v>120000</v>
      </c>
      <c r="I129" s="15">
        <v>121800</v>
      </c>
      <c r="J129" s="15">
        <f>PRODUCT('Cleaned Data'!$G129,'Cleaned Data'!$I129)</f>
        <v>974400</v>
      </c>
      <c r="K129" s="15">
        <f>PRODUCT('Cleaned Data'!$G129,'Cleaned Data'!$H129)</f>
        <v>960000</v>
      </c>
      <c r="L129" s="15">
        <f>('Cleaned Data'!$J129-'Cleaned Data'!$K129)</f>
        <v>14400</v>
      </c>
      <c r="M129" s="23">
        <f>('Cleaned Data'!$L129/'Cleaned Data'!$J129)</f>
        <v>1.4778325123152709E-2</v>
      </c>
      <c r="N129" s="5" t="str">
        <f>IF('Cleaned Data'!$G129&gt;10,"High-Volume","Low-Volume")</f>
        <v>Low-Volume</v>
      </c>
      <c r="O129" s="5" t="str">
        <f>IF('Cleaned Data'!$I129&gt;=100000,"Premium","Standard")</f>
        <v>Premium</v>
      </c>
      <c r="P129" s="56" t="str">
        <f>IF(Zen_Elite_Shoe_Sales[[#This Row],[Revenue]]&gt;=1000000,"Top Performer","Average Performer")</f>
        <v>Average Performer</v>
      </c>
    </row>
    <row r="130" spans="1:16" x14ac:dyDescent="0.35">
      <c r="A130" s="46">
        <v>46151</v>
      </c>
      <c r="B130" s="28" t="s">
        <v>44</v>
      </c>
      <c r="C130" s="28" t="s">
        <v>41</v>
      </c>
      <c r="D130" s="28" t="s">
        <v>26</v>
      </c>
      <c r="E130" s="28" t="s">
        <v>12</v>
      </c>
      <c r="F130" s="28" t="s">
        <v>23</v>
      </c>
      <c r="G130" s="6">
        <v>15</v>
      </c>
      <c r="H130" s="15">
        <v>137000</v>
      </c>
      <c r="I130" s="15">
        <v>138800</v>
      </c>
      <c r="J130" s="15">
        <f>PRODUCT('Cleaned Data'!$G130,'Cleaned Data'!$I130)</f>
        <v>2082000</v>
      </c>
      <c r="K130" s="15">
        <f>PRODUCT('Cleaned Data'!$G130,'Cleaned Data'!$H130)</f>
        <v>2055000</v>
      </c>
      <c r="L130" s="15">
        <f>('Cleaned Data'!$J130-'Cleaned Data'!$K130)</f>
        <v>27000</v>
      </c>
      <c r="M130" s="23">
        <f>('Cleaned Data'!$L130/'Cleaned Data'!$J130)</f>
        <v>1.2968299711815562E-2</v>
      </c>
      <c r="N130" s="5" t="str">
        <f>IF('Cleaned Data'!$G130&gt;10,"High-Volume","Low-Volume")</f>
        <v>High-Volume</v>
      </c>
      <c r="O130" s="5" t="str">
        <f>IF('Cleaned Data'!$I130&gt;=100000,"Premium","Standard")</f>
        <v>Premium</v>
      </c>
      <c r="P130" s="56" t="str">
        <f>IF(Zen_Elite_Shoe_Sales[[#This Row],[Revenue]]&gt;=1000000,"Top Performer","Average Performer")</f>
        <v>Top Performer</v>
      </c>
    </row>
    <row r="131" spans="1:16" x14ac:dyDescent="0.35">
      <c r="A131" s="46">
        <v>46152</v>
      </c>
      <c r="B131" s="28" t="s">
        <v>67</v>
      </c>
      <c r="C131" s="28" t="s">
        <v>15</v>
      </c>
      <c r="D131" s="28" t="s">
        <v>31</v>
      </c>
      <c r="E131" s="28" t="s">
        <v>47</v>
      </c>
      <c r="F131" s="28" t="s">
        <v>28</v>
      </c>
      <c r="G131" s="6">
        <v>15</v>
      </c>
      <c r="H131" s="15">
        <v>58000</v>
      </c>
      <c r="I131" s="15">
        <v>64000</v>
      </c>
      <c r="J131" s="15">
        <f>PRODUCT('Cleaned Data'!$G131,'Cleaned Data'!$I131)</f>
        <v>960000</v>
      </c>
      <c r="K131" s="15">
        <f>PRODUCT('Cleaned Data'!$G131,'Cleaned Data'!$H131)</f>
        <v>870000</v>
      </c>
      <c r="L131" s="15">
        <f>('Cleaned Data'!$J131-'Cleaned Data'!$K131)</f>
        <v>90000</v>
      </c>
      <c r="M131" s="23">
        <f>('Cleaned Data'!$L131/'Cleaned Data'!$J131)</f>
        <v>9.375E-2</v>
      </c>
      <c r="N131" s="5" t="str">
        <f>IF('Cleaned Data'!$G131&gt;10,"High-Volume","Low-Volume")</f>
        <v>High-Volume</v>
      </c>
      <c r="O131" s="5" t="str">
        <f>IF('Cleaned Data'!$I131&gt;=100000,"Premium","Standard")</f>
        <v>Standard</v>
      </c>
      <c r="P131" s="56" t="str">
        <f>IF(Zen_Elite_Shoe_Sales[[#This Row],[Revenue]]&gt;=1000000,"Top Performer","Average Performer")</f>
        <v>Average Performer</v>
      </c>
    </row>
    <row r="132" spans="1:16" x14ac:dyDescent="0.35">
      <c r="A132" s="46">
        <v>46153</v>
      </c>
      <c r="B132" s="28" t="s">
        <v>19</v>
      </c>
      <c r="C132" s="28" t="s">
        <v>50</v>
      </c>
      <c r="D132" s="28" t="s">
        <v>11</v>
      </c>
      <c r="E132" s="28" t="s">
        <v>71</v>
      </c>
      <c r="F132" s="28" t="s">
        <v>33</v>
      </c>
      <c r="G132" s="6">
        <v>12</v>
      </c>
      <c r="H132" s="15">
        <v>40000</v>
      </c>
      <c r="I132" s="15">
        <v>45000</v>
      </c>
      <c r="J132" s="15">
        <f>PRODUCT('Cleaned Data'!$G132,'Cleaned Data'!$I132)</f>
        <v>540000</v>
      </c>
      <c r="K132" s="15">
        <f>PRODUCT('Cleaned Data'!$G132,'Cleaned Data'!$H132)</f>
        <v>480000</v>
      </c>
      <c r="L132" s="15">
        <f>('Cleaned Data'!$J132-'Cleaned Data'!$K132)</f>
        <v>60000</v>
      </c>
      <c r="M132" s="23">
        <f>('Cleaned Data'!$L132/'Cleaned Data'!$J132)</f>
        <v>0.1111111111111111</v>
      </c>
      <c r="N132" s="5" t="str">
        <f>IF('Cleaned Data'!$G132&gt;10,"High-Volume","Low-Volume")</f>
        <v>High-Volume</v>
      </c>
      <c r="O132" s="5" t="str">
        <f>IF('Cleaned Data'!$I132&gt;=100000,"Premium","Standard")</f>
        <v>Standard</v>
      </c>
      <c r="P132" s="56" t="str">
        <f>IF(Zen_Elite_Shoe_Sales[[#This Row],[Revenue]]&gt;=1000000,"Top Performer","Average Performer")</f>
        <v>Average Performer</v>
      </c>
    </row>
    <row r="133" spans="1:16" x14ac:dyDescent="0.35">
      <c r="A133" s="46">
        <v>46154</v>
      </c>
      <c r="B133" s="28" t="s">
        <v>53</v>
      </c>
      <c r="C133" s="28" t="s">
        <v>15</v>
      </c>
      <c r="D133" s="28" t="s">
        <v>16</v>
      </c>
      <c r="E133" s="28" t="s">
        <v>27</v>
      </c>
      <c r="F133" s="28" t="s">
        <v>37</v>
      </c>
      <c r="G133" s="6">
        <v>13</v>
      </c>
      <c r="H133" s="15">
        <v>72000</v>
      </c>
      <c r="I133" s="15">
        <v>75000</v>
      </c>
      <c r="J133" s="15">
        <f>PRODUCT('Cleaned Data'!$G133,'Cleaned Data'!$I133)</f>
        <v>975000</v>
      </c>
      <c r="K133" s="15">
        <f>PRODUCT('Cleaned Data'!$G133,'Cleaned Data'!$H133)</f>
        <v>936000</v>
      </c>
      <c r="L133" s="15">
        <f>('Cleaned Data'!$J133-'Cleaned Data'!$K133)</f>
        <v>39000</v>
      </c>
      <c r="M133" s="23">
        <f>('Cleaned Data'!$L133/'Cleaned Data'!$J133)</f>
        <v>0.04</v>
      </c>
      <c r="N133" s="5" t="str">
        <f>IF('Cleaned Data'!$G133&gt;10,"High-Volume","Low-Volume")</f>
        <v>High-Volume</v>
      </c>
      <c r="O133" s="5" t="str">
        <f>IF('Cleaned Data'!$I133&gt;=100000,"Premium","Standard")</f>
        <v>Standard</v>
      </c>
      <c r="P133" s="56" t="str">
        <f>IF(Zen_Elite_Shoe_Sales[[#This Row],[Revenue]]&gt;=1000000,"Top Performer","Average Performer")</f>
        <v>Average Performer</v>
      </c>
    </row>
    <row r="134" spans="1:16" x14ac:dyDescent="0.35">
      <c r="A134" s="46">
        <v>46155</v>
      </c>
      <c r="B134" s="28" t="s">
        <v>73</v>
      </c>
      <c r="C134" s="28" t="s">
        <v>30</v>
      </c>
      <c r="D134" s="28" t="s">
        <v>21</v>
      </c>
      <c r="E134" s="28" t="s">
        <v>59</v>
      </c>
      <c r="F134" s="28" t="s">
        <v>39</v>
      </c>
      <c r="G134" s="6">
        <v>8</v>
      </c>
      <c r="H134" s="15">
        <v>58000</v>
      </c>
      <c r="I134" s="15">
        <v>64000</v>
      </c>
      <c r="J134" s="15">
        <f>PRODUCT('Cleaned Data'!$G134,'Cleaned Data'!$I134)</f>
        <v>512000</v>
      </c>
      <c r="K134" s="15">
        <f>PRODUCT('Cleaned Data'!$G134,'Cleaned Data'!$H134)</f>
        <v>464000</v>
      </c>
      <c r="L134" s="15">
        <f>('Cleaned Data'!$J134-'Cleaned Data'!$K134)</f>
        <v>48000</v>
      </c>
      <c r="M134" s="23">
        <f>('Cleaned Data'!$L134/'Cleaned Data'!$J134)</f>
        <v>9.375E-2</v>
      </c>
      <c r="N134" s="5" t="str">
        <f>IF('Cleaned Data'!$G134&gt;10,"High-Volume","Low-Volume")</f>
        <v>Low-Volume</v>
      </c>
      <c r="O134" s="5" t="str">
        <f>IF('Cleaned Data'!$I134&gt;=100000,"Premium","Standard")</f>
        <v>Standard</v>
      </c>
      <c r="P134" s="56" t="str">
        <f>IF(Zen_Elite_Shoe_Sales[[#This Row],[Revenue]]&gt;=1000000,"Top Performer","Average Performer")</f>
        <v>Average Performer</v>
      </c>
    </row>
    <row r="135" spans="1:16" x14ac:dyDescent="0.35">
      <c r="A135" s="46">
        <v>46156</v>
      </c>
      <c r="B135" s="28" t="s">
        <v>34</v>
      </c>
      <c r="C135" s="28" t="s">
        <v>41</v>
      </c>
      <c r="D135" s="28" t="s">
        <v>26</v>
      </c>
      <c r="E135" s="28" t="s">
        <v>12</v>
      </c>
      <c r="F135" s="28" t="s">
        <v>43</v>
      </c>
      <c r="G135" s="6">
        <v>8</v>
      </c>
      <c r="H135" s="15">
        <v>90000</v>
      </c>
      <c r="I135" s="15">
        <v>91800</v>
      </c>
      <c r="J135" s="15">
        <f>PRODUCT('Cleaned Data'!$G135,'Cleaned Data'!$I135)</f>
        <v>734400</v>
      </c>
      <c r="K135" s="15">
        <f>PRODUCT('Cleaned Data'!$G135,'Cleaned Data'!$H135)</f>
        <v>720000</v>
      </c>
      <c r="L135" s="15">
        <f>('Cleaned Data'!$J135-'Cleaned Data'!$K135)</f>
        <v>14400</v>
      </c>
      <c r="M135" s="23">
        <f>('Cleaned Data'!$L135/'Cleaned Data'!$J135)</f>
        <v>1.9607843137254902E-2</v>
      </c>
      <c r="N135" s="5" t="str">
        <f>IF('Cleaned Data'!$G135&gt;10,"High-Volume","Low-Volume")</f>
        <v>Low-Volume</v>
      </c>
      <c r="O135" s="5" t="str">
        <f>IF('Cleaned Data'!$I135&gt;=100000,"Premium","Standard")</f>
        <v>Standard</v>
      </c>
      <c r="P135" s="56" t="str">
        <f>IF(Zen_Elite_Shoe_Sales[[#This Row],[Revenue]]&gt;=1000000,"Top Performer","Average Performer")</f>
        <v>Average Performer</v>
      </c>
    </row>
    <row r="136" spans="1:16" x14ac:dyDescent="0.35">
      <c r="A136" s="46">
        <v>46157</v>
      </c>
      <c r="B136" s="28" t="s">
        <v>64</v>
      </c>
      <c r="C136" s="28" t="s">
        <v>41</v>
      </c>
      <c r="D136" s="28" t="s">
        <v>31</v>
      </c>
      <c r="E136" s="28" t="s">
        <v>12</v>
      </c>
      <c r="F136" s="28" t="s">
        <v>45</v>
      </c>
      <c r="G136" s="6">
        <v>6</v>
      </c>
      <c r="H136" s="15">
        <v>107000</v>
      </c>
      <c r="I136" s="15">
        <v>108800</v>
      </c>
      <c r="J136" s="15">
        <f>PRODUCT('Cleaned Data'!$G136,'Cleaned Data'!$I136)</f>
        <v>652800</v>
      </c>
      <c r="K136" s="15">
        <f>PRODUCT('Cleaned Data'!$G136,'Cleaned Data'!$H136)</f>
        <v>642000</v>
      </c>
      <c r="L136" s="15">
        <f>('Cleaned Data'!$J136-'Cleaned Data'!$K136)</f>
        <v>10800</v>
      </c>
      <c r="M136" s="23">
        <f>('Cleaned Data'!$L136/'Cleaned Data'!$J136)</f>
        <v>1.6544117647058824E-2</v>
      </c>
      <c r="N136" s="5" t="str">
        <f>IF('Cleaned Data'!$G136&gt;10,"High-Volume","Low-Volume")</f>
        <v>Low-Volume</v>
      </c>
      <c r="O136" s="5" t="str">
        <f>IF('Cleaned Data'!$I136&gt;=100000,"Premium","Standard")</f>
        <v>Premium</v>
      </c>
      <c r="P136" s="56" t="str">
        <f>IF(Zen_Elite_Shoe_Sales[[#This Row],[Revenue]]&gt;=1000000,"Top Performer","Average Performer")</f>
        <v>Average Performer</v>
      </c>
    </row>
    <row r="137" spans="1:16" x14ac:dyDescent="0.35">
      <c r="A137" s="46">
        <v>46158</v>
      </c>
      <c r="B137" s="28" t="s">
        <v>78</v>
      </c>
      <c r="C137" s="28" t="s">
        <v>41</v>
      </c>
      <c r="D137" s="28" t="s">
        <v>11</v>
      </c>
      <c r="E137" s="28" t="s">
        <v>27</v>
      </c>
      <c r="F137" s="28" t="s">
        <v>48</v>
      </c>
      <c r="G137" s="6">
        <v>6</v>
      </c>
      <c r="H137" s="15">
        <v>101000</v>
      </c>
      <c r="I137" s="15">
        <v>102800</v>
      </c>
      <c r="J137" s="15">
        <f>PRODUCT('Cleaned Data'!$G137,'Cleaned Data'!$I137)</f>
        <v>616800</v>
      </c>
      <c r="K137" s="15">
        <f>PRODUCT('Cleaned Data'!$G137,'Cleaned Data'!$H137)</f>
        <v>606000</v>
      </c>
      <c r="L137" s="15">
        <f>('Cleaned Data'!$J137-'Cleaned Data'!$K137)</f>
        <v>10800</v>
      </c>
      <c r="M137" s="23">
        <f>('Cleaned Data'!$L137/'Cleaned Data'!$J137)</f>
        <v>1.7509727626459144E-2</v>
      </c>
      <c r="N137" s="5" t="str">
        <f>IF('Cleaned Data'!$G137&gt;10,"High-Volume","Low-Volume")</f>
        <v>Low-Volume</v>
      </c>
      <c r="O137" s="5" t="str">
        <f>IF('Cleaned Data'!$I137&gt;=100000,"Premium","Standard")</f>
        <v>Premium</v>
      </c>
      <c r="P137" s="56" t="str">
        <f>IF(Zen_Elite_Shoe_Sales[[#This Row],[Revenue]]&gt;=1000000,"Top Performer","Average Performer")</f>
        <v>Average Performer</v>
      </c>
    </row>
    <row r="138" spans="1:16" x14ac:dyDescent="0.35">
      <c r="A138" s="46">
        <v>46159</v>
      </c>
      <c r="B138" s="28" t="s">
        <v>44</v>
      </c>
      <c r="C138" s="28" t="s">
        <v>41</v>
      </c>
      <c r="D138" s="28" t="s">
        <v>16</v>
      </c>
      <c r="E138" s="28" t="s">
        <v>12</v>
      </c>
      <c r="F138" s="28" t="s">
        <v>52</v>
      </c>
      <c r="G138" s="6">
        <v>4</v>
      </c>
      <c r="H138" s="15">
        <v>117000</v>
      </c>
      <c r="I138" s="15">
        <v>118800</v>
      </c>
      <c r="J138" s="15">
        <f>PRODUCT('Cleaned Data'!$G138,'Cleaned Data'!$I138)</f>
        <v>475200</v>
      </c>
      <c r="K138" s="15">
        <f>PRODUCT('Cleaned Data'!$G138,'Cleaned Data'!$H138)</f>
        <v>468000</v>
      </c>
      <c r="L138" s="15">
        <f>('Cleaned Data'!$J138-'Cleaned Data'!$K138)</f>
        <v>7200</v>
      </c>
      <c r="M138" s="23">
        <f>('Cleaned Data'!$L138/'Cleaned Data'!$J138)</f>
        <v>1.5151515151515152E-2</v>
      </c>
      <c r="N138" s="5" t="str">
        <f>IF('Cleaned Data'!$G138&gt;10,"High-Volume","Low-Volume")</f>
        <v>Low-Volume</v>
      </c>
      <c r="O138" s="5" t="str">
        <f>IF('Cleaned Data'!$I138&gt;=100000,"Premium","Standard")</f>
        <v>Premium</v>
      </c>
      <c r="P138" s="56" t="str">
        <f>IF(Zen_Elite_Shoe_Sales[[#This Row],[Revenue]]&gt;=1000000,"Top Performer","Average Performer")</f>
        <v>Average Performer</v>
      </c>
    </row>
    <row r="139" spans="1:16" x14ac:dyDescent="0.35">
      <c r="A139" s="46">
        <v>46160</v>
      </c>
      <c r="B139" s="28" t="s">
        <v>67</v>
      </c>
      <c r="C139" s="28" t="s">
        <v>15</v>
      </c>
      <c r="D139" s="28" t="s">
        <v>21</v>
      </c>
      <c r="E139" s="28" t="s">
        <v>47</v>
      </c>
      <c r="F139" s="28" t="s">
        <v>56</v>
      </c>
      <c r="G139" s="6">
        <v>15</v>
      </c>
      <c r="H139" s="15">
        <v>52000</v>
      </c>
      <c r="I139" s="15">
        <v>58000</v>
      </c>
      <c r="J139" s="15">
        <f>PRODUCT('Cleaned Data'!$G139,'Cleaned Data'!$I139)</f>
        <v>870000</v>
      </c>
      <c r="K139" s="15">
        <f>PRODUCT('Cleaned Data'!$G139,'Cleaned Data'!$H139)</f>
        <v>780000</v>
      </c>
      <c r="L139" s="15">
        <f>('Cleaned Data'!$J139-'Cleaned Data'!$K139)</f>
        <v>90000</v>
      </c>
      <c r="M139" s="23">
        <f>('Cleaned Data'!$L139/'Cleaned Data'!$J139)</f>
        <v>0.10344827586206896</v>
      </c>
      <c r="N139" s="5" t="str">
        <f>IF('Cleaned Data'!$G139&gt;10,"High-Volume","Low-Volume")</f>
        <v>High-Volume</v>
      </c>
      <c r="O139" s="5" t="str">
        <f>IF('Cleaned Data'!$I139&gt;=100000,"Premium","Standard")</f>
        <v>Standard</v>
      </c>
      <c r="P139" s="56" t="str">
        <f>IF(Zen_Elite_Shoe_Sales[[#This Row],[Revenue]]&gt;=1000000,"Top Performer","Average Performer")</f>
        <v>Average Performer</v>
      </c>
    </row>
    <row r="140" spans="1:16" x14ac:dyDescent="0.35">
      <c r="A140" s="46">
        <v>46161</v>
      </c>
      <c r="B140" s="28" t="s">
        <v>19</v>
      </c>
      <c r="C140" s="28" t="s">
        <v>50</v>
      </c>
      <c r="D140" s="28" t="s">
        <v>26</v>
      </c>
      <c r="E140" s="28" t="s">
        <v>71</v>
      </c>
      <c r="F140" s="28" t="s">
        <v>60</v>
      </c>
      <c r="G140" s="6">
        <v>13</v>
      </c>
      <c r="H140" s="15">
        <v>42000</v>
      </c>
      <c r="I140" s="15">
        <v>47000</v>
      </c>
      <c r="J140" s="15">
        <f>PRODUCT('Cleaned Data'!$G140,'Cleaned Data'!$I140)</f>
        <v>611000</v>
      </c>
      <c r="K140" s="15">
        <f>PRODUCT('Cleaned Data'!$G140,'Cleaned Data'!$H140)</f>
        <v>546000</v>
      </c>
      <c r="L140" s="15">
        <f>('Cleaned Data'!$J140-'Cleaned Data'!$K140)</f>
        <v>65000</v>
      </c>
      <c r="M140" s="23">
        <f>('Cleaned Data'!$L140/'Cleaned Data'!$J140)</f>
        <v>0.10638297872340426</v>
      </c>
      <c r="N140" s="5" t="str">
        <f>IF('Cleaned Data'!$G140&gt;10,"High-Volume","Low-Volume")</f>
        <v>High-Volume</v>
      </c>
      <c r="O140" s="5" t="str">
        <f>IF('Cleaned Data'!$I140&gt;=100000,"Premium","Standard")</f>
        <v>Standard</v>
      </c>
      <c r="P140" s="56" t="str">
        <f>IF(Zen_Elite_Shoe_Sales[[#This Row],[Revenue]]&gt;=1000000,"Top Performer","Average Performer")</f>
        <v>Average Performer</v>
      </c>
    </row>
    <row r="141" spans="1:16" x14ac:dyDescent="0.35">
      <c r="A141" s="47">
        <v>46162</v>
      </c>
      <c r="B141" s="29" t="s">
        <v>53</v>
      </c>
      <c r="C141" s="29" t="s">
        <v>15</v>
      </c>
      <c r="D141" s="29" t="s">
        <v>31</v>
      </c>
      <c r="E141" s="29" t="s">
        <v>27</v>
      </c>
      <c r="F141" s="29" t="s">
        <v>63</v>
      </c>
      <c r="G141" s="10">
        <v>12</v>
      </c>
      <c r="H141" s="16">
        <v>71000</v>
      </c>
      <c r="I141" s="16">
        <v>74000</v>
      </c>
      <c r="J141" s="16">
        <f>PRODUCT('Cleaned Data'!$G141,'Cleaned Data'!$I141)</f>
        <v>888000</v>
      </c>
      <c r="K141" s="16">
        <f>PRODUCT('Cleaned Data'!$G141,'Cleaned Data'!$H141)</f>
        <v>852000</v>
      </c>
      <c r="L141" s="16">
        <f>('Cleaned Data'!$J141-'Cleaned Data'!$K141)</f>
        <v>36000</v>
      </c>
      <c r="M141" s="24">
        <f>('Cleaned Data'!$L141/'Cleaned Data'!$J141)</f>
        <v>4.0540540540540543E-2</v>
      </c>
      <c r="N141" s="9" t="str">
        <f>IF('Cleaned Data'!$G141&gt;10,"High-Volume","Low-Volume")</f>
        <v>High-Volume</v>
      </c>
      <c r="O141" s="9" t="str">
        <f>IF('Cleaned Data'!$I141&gt;=100000,"Premium","Standard")</f>
        <v>Standard</v>
      </c>
      <c r="P141" s="56" t="str">
        <f>IF(Zen_Elite_Shoe_Sales[[#This Row],[Revenue]]&gt;=1000000,"Top Performer","Average Performer")</f>
        <v>Average Performer</v>
      </c>
    </row>
    <row r="142" spans="1:16" x14ac:dyDescent="0.35">
      <c r="A142" s="46">
        <v>46163</v>
      </c>
      <c r="B142" s="28" t="s">
        <v>73</v>
      </c>
      <c r="C142" s="28" t="s">
        <v>30</v>
      </c>
      <c r="D142" s="28" t="s">
        <v>11</v>
      </c>
      <c r="E142" s="28" t="s">
        <v>59</v>
      </c>
      <c r="F142" s="28" t="s">
        <v>13</v>
      </c>
      <c r="G142" s="6">
        <v>5</v>
      </c>
      <c r="H142" s="15">
        <v>58000</v>
      </c>
      <c r="I142" s="15">
        <v>64000</v>
      </c>
      <c r="J142" s="15">
        <f>PRODUCT('Cleaned Data'!$G142,'Cleaned Data'!$I142)</f>
        <v>320000</v>
      </c>
      <c r="K142" s="15">
        <f>PRODUCT('Cleaned Data'!$G142,'Cleaned Data'!$H142)</f>
        <v>290000</v>
      </c>
      <c r="L142" s="15">
        <f>('Cleaned Data'!$J142-'Cleaned Data'!$K142)</f>
        <v>30000</v>
      </c>
      <c r="M142" s="23">
        <f>('Cleaned Data'!$L142/'Cleaned Data'!$J142)</f>
        <v>9.375E-2</v>
      </c>
      <c r="N142" s="5" t="str">
        <f>IF('Cleaned Data'!$G142&gt;10,"High-Volume","Low-Volume")</f>
        <v>Low-Volume</v>
      </c>
      <c r="O142" s="5" t="str">
        <f>IF('Cleaned Data'!$I142&gt;=100000,"Premium","Standard")</f>
        <v>Standard</v>
      </c>
      <c r="P142" s="56" t="str">
        <f>IF(Zen_Elite_Shoe_Sales[[#This Row],[Revenue]]&gt;=1000000,"Top Performer","Average Performer")</f>
        <v>Average Performer</v>
      </c>
    </row>
    <row r="143" spans="1:16" x14ac:dyDescent="0.35">
      <c r="A143" s="47">
        <v>46164</v>
      </c>
      <c r="B143" s="29" t="s">
        <v>34</v>
      </c>
      <c r="C143" s="29" t="s">
        <v>41</v>
      </c>
      <c r="D143" s="29" t="s">
        <v>16</v>
      </c>
      <c r="E143" s="29" t="s">
        <v>12</v>
      </c>
      <c r="F143" s="29" t="s">
        <v>18</v>
      </c>
      <c r="G143" s="10">
        <v>10</v>
      </c>
      <c r="H143" s="16">
        <v>92000</v>
      </c>
      <c r="I143" s="16">
        <v>93800</v>
      </c>
      <c r="J143" s="16">
        <f>PRODUCT('Cleaned Data'!$G143,'Cleaned Data'!$I143)</f>
        <v>938000</v>
      </c>
      <c r="K143" s="16">
        <f>PRODUCT('Cleaned Data'!$G143,'Cleaned Data'!$H143)</f>
        <v>920000</v>
      </c>
      <c r="L143" s="16">
        <f>('Cleaned Data'!$J143-'Cleaned Data'!$K143)</f>
        <v>18000</v>
      </c>
      <c r="M143" s="24">
        <f>('Cleaned Data'!$L143/'Cleaned Data'!$J143)</f>
        <v>1.9189765458422176E-2</v>
      </c>
      <c r="N143" s="9" t="str">
        <f>IF('Cleaned Data'!$G143&gt;10,"High-Volume","Low-Volume")</f>
        <v>Low-Volume</v>
      </c>
      <c r="O143" s="9" t="str">
        <f>IF('Cleaned Data'!$I143&gt;=100000,"Premium","Standard")</f>
        <v>Standard</v>
      </c>
      <c r="P143" s="56" t="str">
        <f>IF(Zen_Elite_Shoe_Sales[[#This Row],[Revenue]]&gt;=1000000,"Top Performer","Average Performer")</f>
        <v>Average Performer</v>
      </c>
    </row>
    <row r="144" spans="1:16" x14ac:dyDescent="0.35">
      <c r="A144" s="46">
        <v>46165</v>
      </c>
      <c r="B144" s="28" t="s">
        <v>64</v>
      </c>
      <c r="C144" s="28" t="s">
        <v>41</v>
      </c>
      <c r="D144" s="28" t="s">
        <v>21</v>
      </c>
      <c r="E144" s="28" t="s">
        <v>12</v>
      </c>
      <c r="F144" s="28" t="s">
        <v>23</v>
      </c>
      <c r="G144" s="6">
        <v>4</v>
      </c>
      <c r="H144" s="15">
        <v>116000</v>
      </c>
      <c r="I144" s="15">
        <v>117800</v>
      </c>
      <c r="J144" s="15">
        <f>PRODUCT('Cleaned Data'!$G144,'Cleaned Data'!$I144)</f>
        <v>471200</v>
      </c>
      <c r="K144" s="15">
        <f>PRODUCT('Cleaned Data'!$G144,'Cleaned Data'!$H144)</f>
        <v>464000</v>
      </c>
      <c r="L144" s="15">
        <f>('Cleaned Data'!$J144-'Cleaned Data'!$K144)</f>
        <v>7200</v>
      </c>
      <c r="M144" s="23">
        <f>('Cleaned Data'!$L144/'Cleaned Data'!$J144)</f>
        <v>1.5280135823429542E-2</v>
      </c>
      <c r="N144" s="5" t="str">
        <f>IF('Cleaned Data'!$G144&gt;10,"High-Volume","Low-Volume")</f>
        <v>Low-Volume</v>
      </c>
      <c r="O144" s="5" t="str">
        <f>IF('Cleaned Data'!$I144&gt;=100000,"Premium","Standard")</f>
        <v>Premium</v>
      </c>
      <c r="P144" s="56" t="str">
        <f>IF(Zen_Elite_Shoe_Sales[[#This Row],[Revenue]]&gt;=1000000,"Top Performer","Average Performer")</f>
        <v>Average Performer</v>
      </c>
    </row>
    <row r="145" spans="1:16" x14ac:dyDescent="0.35">
      <c r="A145" s="47">
        <v>46166</v>
      </c>
      <c r="B145" s="29" t="s">
        <v>78</v>
      </c>
      <c r="C145" s="29" t="s">
        <v>41</v>
      </c>
      <c r="D145" s="29" t="s">
        <v>26</v>
      </c>
      <c r="E145" s="29" t="s">
        <v>27</v>
      </c>
      <c r="F145" s="29" t="s">
        <v>28</v>
      </c>
      <c r="G145" s="10">
        <v>6</v>
      </c>
      <c r="H145" s="16">
        <v>132000</v>
      </c>
      <c r="I145" s="16">
        <v>133800</v>
      </c>
      <c r="J145" s="16">
        <f>PRODUCT('Cleaned Data'!$G145,'Cleaned Data'!$I145)</f>
        <v>802800</v>
      </c>
      <c r="K145" s="16">
        <f>PRODUCT('Cleaned Data'!$G145,'Cleaned Data'!$H145)</f>
        <v>792000</v>
      </c>
      <c r="L145" s="16">
        <f>('Cleaned Data'!$J145-'Cleaned Data'!$K145)</f>
        <v>10800</v>
      </c>
      <c r="M145" s="24">
        <f>('Cleaned Data'!$L145/'Cleaned Data'!$J145)</f>
        <v>1.3452914798206279E-2</v>
      </c>
      <c r="N145" s="9" t="str">
        <f>IF('Cleaned Data'!$G145&gt;10,"High-Volume","Low-Volume")</f>
        <v>Low-Volume</v>
      </c>
      <c r="O145" s="9" t="str">
        <f>IF('Cleaned Data'!$I145&gt;=100000,"Premium","Standard")</f>
        <v>Premium</v>
      </c>
      <c r="P145" s="56" t="str">
        <f>IF(Zen_Elite_Shoe_Sales[[#This Row],[Revenue]]&gt;=1000000,"Top Performer","Average Performer")</f>
        <v>Average Performer</v>
      </c>
    </row>
    <row r="146" spans="1:16" x14ac:dyDescent="0.35">
      <c r="A146" s="46">
        <v>46167</v>
      </c>
      <c r="B146" s="28" t="s">
        <v>44</v>
      </c>
      <c r="C146" s="28" t="s">
        <v>41</v>
      </c>
      <c r="D146" s="28" t="s">
        <v>31</v>
      </c>
      <c r="E146" s="28" t="s">
        <v>12</v>
      </c>
      <c r="F146" s="28" t="s">
        <v>33</v>
      </c>
      <c r="G146" s="6">
        <v>6</v>
      </c>
      <c r="H146" s="15">
        <v>136000</v>
      </c>
      <c r="I146" s="15">
        <v>137800</v>
      </c>
      <c r="J146" s="15">
        <f>PRODUCT('Cleaned Data'!$G146,'Cleaned Data'!$I146)</f>
        <v>826800</v>
      </c>
      <c r="K146" s="15">
        <f>PRODUCT('Cleaned Data'!$G146,'Cleaned Data'!$H146)</f>
        <v>816000</v>
      </c>
      <c r="L146" s="15">
        <f>('Cleaned Data'!$J146-'Cleaned Data'!$K146)</f>
        <v>10800</v>
      </c>
      <c r="M146" s="23">
        <f>('Cleaned Data'!$L146/'Cleaned Data'!$J146)</f>
        <v>1.3062409288824383E-2</v>
      </c>
      <c r="N146" s="5" t="str">
        <f>IF('Cleaned Data'!$G146&gt;10,"High-Volume","Low-Volume")</f>
        <v>Low-Volume</v>
      </c>
      <c r="O146" s="5" t="str">
        <f>IF('Cleaned Data'!$I146&gt;=100000,"Premium","Standard")</f>
        <v>Premium</v>
      </c>
      <c r="P146" s="56" t="str">
        <f>IF(Zen_Elite_Shoe_Sales[[#This Row],[Revenue]]&gt;=1000000,"Top Performer","Average Performer")</f>
        <v>Average Performer</v>
      </c>
    </row>
    <row r="147" spans="1:16" x14ac:dyDescent="0.35">
      <c r="A147" s="46">
        <v>46168</v>
      </c>
      <c r="B147" s="28" t="s">
        <v>67</v>
      </c>
      <c r="C147" s="28" t="s">
        <v>15</v>
      </c>
      <c r="D147" s="28" t="s">
        <v>11</v>
      </c>
      <c r="E147" s="28" t="s">
        <v>47</v>
      </c>
      <c r="F147" s="28" t="s">
        <v>37</v>
      </c>
      <c r="G147" s="6">
        <v>12</v>
      </c>
      <c r="H147" s="15">
        <v>56000</v>
      </c>
      <c r="I147" s="15">
        <v>62000</v>
      </c>
      <c r="J147" s="15">
        <f>PRODUCT('Cleaned Data'!$G147,'Cleaned Data'!$I147)</f>
        <v>744000</v>
      </c>
      <c r="K147" s="15">
        <f>PRODUCT('Cleaned Data'!$G147,'Cleaned Data'!$H147)</f>
        <v>672000</v>
      </c>
      <c r="L147" s="15">
        <f>('Cleaned Data'!$J147-'Cleaned Data'!$K147)</f>
        <v>72000</v>
      </c>
      <c r="M147" s="23">
        <f>('Cleaned Data'!$L147/'Cleaned Data'!$J147)</f>
        <v>9.6774193548387094E-2</v>
      </c>
      <c r="N147" s="5" t="str">
        <f>IF('Cleaned Data'!$G147&gt;10,"High-Volume","Low-Volume")</f>
        <v>High-Volume</v>
      </c>
      <c r="O147" s="5" t="str">
        <f>IF('Cleaned Data'!$I147&gt;=100000,"Premium","Standard")</f>
        <v>Standard</v>
      </c>
      <c r="P147" s="56" t="str">
        <f>IF(Zen_Elite_Shoe_Sales[[#This Row],[Revenue]]&gt;=1000000,"Top Performer","Average Performer")</f>
        <v>Average Performer</v>
      </c>
    </row>
    <row r="148" spans="1:16" x14ac:dyDescent="0.35">
      <c r="A148" s="46">
        <v>46169</v>
      </c>
      <c r="B148" s="28" t="s">
        <v>19</v>
      </c>
      <c r="C148" s="28" t="s">
        <v>50</v>
      </c>
      <c r="D148" s="28" t="s">
        <v>16</v>
      </c>
      <c r="E148" s="28" t="s">
        <v>71</v>
      </c>
      <c r="F148" s="28" t="s">
        <v>39</v>
      </c>
      <c r="G148" s="6">
        <v>5</v>
      </c>
      <c r="H148" s="15">
        <v>46000</v>
      </c>
      <c r="I148" s="15">
        <v>51000</v>
      </c>
      <c r="J148" s="15">
        <f>PRODUCT('Cleaned Data'!$G148,'Cleaned Data'!$I148)</f>
        <v>255000</v>
      </c>
      <c r="K148" s="15">
        <f>PRODUCT('Cleaned Data'!$G148,'Cleaned Data'!$H148)</f>
        <v>230000</v>
      </c>
      <c r="L148" s="15">
        <f>('Cleaned Data'!$J148-'Cleaned Data'!$K148)</f>
        <v>25000</v>
      </c>
      <c r="M148" s="23">
        <f>('Cleaned Data'!$L148/'Cleaned Data'!$J148)</f>
        <v>9.8039215686274508E-2</v>
      </c>
      <c r="N148" s="5" t="str">
        <f>IF('Cleaned Data'!$G148&gt;10,"High-Volume","Low-Volume")</f>
        <v>Low-Volume</v>
      </c>
      <c r="O148" s="5" t="str">
        <f>IF('Cleaned Data'!$I148&gt;=100000,"Premium","Standard")</f>
        <v>Standard</v>
      </c>
      <c r="P148" s="56" t="str">
        <f>IF(Zen_Elite_Shoe_Sales[[#This Row],[Revenue]]&gt;=1000000,"Top Performer","Average Performer")</f>
        <v>Average Performer</v>
      </c>
    </row>
    <row r="149" spans="1:16" x14ac:dyDescent="0.35">
      <c r="A149" s="46">
        <v>46170</v>
      </c>
      <c r="B149" s="28" t="s">
        <v>53</v>
      </c>
      <c r="C149" s="28" t="s">
        <v>15</v>
      </c>
      <c r="D149" s="28" t="s">
        <v>21</v>
      </c>
      <c r="E149" s="28" t="s">
        <v>27</v>
      </c>
      <c r="F149" s="28" t="s">
        <v>43</v>
      </c>
      <c r="G149" s="6">
        <v>5</v>
      </c>
      <c r="H149" s="15">
        <v>65000</v>
      </c>
      <c r="I149" s="15">
        <v>71500</v>
      </c>
      <c r="J149" s="15">
        <f>PRODUCT('Cleaned Data'!$G149,'Cleaned Data'!$I149)</f>
        <v>357500</v>
      </c>
      <c r="K149" s="15">
        <f>PRODUCT('Cleaned Data'!$G149,'Cleaned Data'!$H149)</f>
        <v>325000</v>
      </c>
      <c r="L149" s="15">
        <f>('Cleaned Data'!$J149-'Cleaned Data'!$K149)</f>
        <v>32500</v>
      </c>
      <c r="M149" s="23">
        <f>('Cleaned Data'!$L149/'Cleaned Data'!$J149)</f>
        <v>9.0909090909090912E-2</v>
      </c>
      <c r="N149" s="5" t="str">
        <f>IF('Cleaned Data'!$G149&gt;10,"High-Volume","Low-Volume")</f>
        <v>Low-Volume</v>
      </c>
      <c r="O149" s="5" t="str">
        <f>IF('Cleaned Data'!$I149&gt;=100000,"Premium","Standard")</f>
        <v>Standard</v>
      </c>
      <c r="P149" s="56" t="str">
        <f>IF(Zen_Elite_Shoe_Sales[[#This Row],[Revenue]]&gt;=1000000,"Top Performer","Average Performer")</f>
        <v>Average Performer</v>
      </c>
    </row>
    <row r="150" spans="1:16" x14ac:dyDescent="0.35">
      <c r="A150" s="46">
        <v>46171</v>
      </c>
      <c r="B150" s="28" t="s">
        <v>73</v>
      </c>
      <c r="C150" s="28" t="s">
        <v>30</v>
      </c>
      <c r="D150" s="28" t="s">
        <v>26</v>
      </c>
      <c r="E150" s="28" t="s">
        <v>59</v>
      </c>
      <c r="F150" s="28" t="s">
        <v>45</v>
      </c>
      <c r="G150" s="6">
        <v>14</v>
      </c>
      <c r="H150" s="15">
        <v>68000</v>
      </c>
      <c r="I150" s="15">
        <v>74500</v>
      </c>
      <c r="J150" s="15">
        <f>PRODUCT('Cleaned Data'!$G150,'Cleaned Data'!$I150)</f>
        <v>1043000</v>
      </c>
      <c r="K150" s="15">
        <f>PRODUCT('Cleaned Data'!$G150,'Cleaned Data'!$H150)</f>
        <v>952000</v>
      </c>
      <c r="L150" s="15">
        <f>('Cleaned Data'!$J150-'Cleaned Data'!$K150)</f>
        <v>91000</v>
      </c>
      <c r="M150" s="23">
        <f>('Cleaned Data'!$L150/'Cleaned Data'!$J150)</f>
        <v>8.7248322147651006E-2</v>
      </c>
      <c r="N150" s="5" t="str">
        <f>IF('Cleaned Data'!$G150&gt;10,"High-Volume","Low-Volume")</f>
        <v>High-Volume</v>
      </c>
      <c r="O150" s="5" t="str">
        <f>IF('Cleaned Data'!$I150&gt;=100000,"Premium","Standard")</f>
        <v>Standard</v>
      </c>
      <c r="P150" s="56" t="str">
        <f>IF(Zen_Elite_Shoe_Sales[[#This Row],[Revenue]]&gt;=1000000,"Top Performer","Average Performer")</f>
        <v>Top Performer</v>
      </c>
    </row>
    <row r="151" spans="1:16" x14ac:dyDescent="0.35">
      <c r="A151" s="46">
        <v>46172</v>
      </c>
      <c r="B151" s="28" t="s">
        <v>34</v>
      </c>
      <c r="C151" s="28" t="s">
        <v>41</v>
      </c>
      <c r="D151" s="28" t="s">
        <v>31</v>
      </c>
      <c r="E151" s="28" t="s">
        <v>12</v>
      </c>
      <c r="F151" s="28" t="s">
        <v>48</v>
      </c>
      <c r="G151" s="6">
        <v>11</v>
      </c>
      <c r="H151" s="15">
        <v>99000</v>
      </c>
      <c r="I151" s="15">
        <v>100800</v>
      </c>
      <c r="J151" s="15">
        <f>PRODUCT('Cleaned Data'!$G151,'Cleaned Data'!$I151)</f>
        <v>1108800</v>
      </c>
      <c r="K151" s="15">
        <f>PRODUCT('Cleaned Data'!$G151,'Cleaned Data'!$H151)</f>
        <v>1089000</v>
      </c>
      <c r="L151" s="15">
        <f>('Cleaned Data'!$J151-'Cleaned Data'!$K151)</f>
        <v>19800</v>
      </c>
      <c r="M151" s="23">
        <f>('Cleaned Data'!$L151/'Cleaned Data'!$J151)</f>
        <v>1.7857142857142856E-2</v>
      </c>
      <c r="N151" s="5" t="str">
        <f>IF('Cleaned Data'!$G151&gt;10,"High-Volume","Low-Volume")</f>
        <v>High-Volume</v>
      </c>
      <c r="O151" s="5" t="str">
        <f>IF('Cleaned Data'!$I151&gt;=100000,"Premium","Standard")</f>
        <v>Premium</v>
      </c>
      <c r="P151" s="56" t="str">
        <f>IF(Zen_Elite_Shoe_Sales[[#This Row],[Revenue]]&gt;=1000000,"Top Performer","Average Performer")</f>
        <v>Top Performer</v>
      </c>
    </row>
    <row r="152" spans="1:16" x14ac:dyDescent="0.35">
      <c r="A152" s="46">
        <v>46173</v>
      </c>
      <c r="B152" s="28" t="s">
        <v>64</v>
      </c>
      <c r="C152" s="28" t="s">
        <v>41</v>
      </c>
      <c r="D152" s="28" t="s">
        <v>11</v>
      </c>
      <c r="E152" s="28" t="s">
        <v>12</v>
      </c>
      <c r="F152" s="28" t="s">
        <v>52</v>
      </c>
      <c r="G152" s="6">
        <v>14</v>
      </c>
      <c r="H152" s="15">
        <v>97000</v>
      </c>
      <c r="I152" s="15">
        <v>98800</v>
      </c>
      <c r="J152" s="15">
        <f>PRODUCT('Cleaned Data'!$G152,'Cleaned Data'!$I152)</f>
        <v>1383200</v>
      </c>
      <c r="K152" s="15">
        <f>PRODUCT('Cleaned Data'!$G152,'Cleaned Data'!$H152)</f>
        <v>1358000</v>
      </c>
      <c r="L152" s="15">
        <f>('Cleaned Data'!$J152-'Cleaned Data'!$K152)</f>
        <v>25200</v>
      </c>
      <c r="M152" s="23">
        <f>('Cleaned Data'!$L152/'Cleaned Data'!$J152)</f>
        <v>1.8218623481781375E-2</v>
      </c>
      <c r="N152" s="5" t="str">
        <f>IF('Cleaned Data'!$G152&gt;10,"High-Volume","Low-Volume")</f>
        <v>High-Volume</v>
      </c>
      <c r="O152" s="5" t="str">
        <f>IF('Cleaned Data'!$I152&gt;=100000,"Premium","Standard")</f>
        <v>Standard</v>
      </c>
      <c r="P152" s="56" t="str">
        <f>IF(Zen_Elite_Shoe_Sales[[#This Row],[Revenue]]&gt;=1000000,"Top Performer","Average Performer")</f>
        <v>Top Performer</v>
      </c>
    </row>
    <row r="153" spans="1:16" x14ac:dyDescent="0.35">
      <c r="A153" s="46">
        <v>46174</v>
      </c>
      <c r="B153" s="28" t="s">
        <v>78</v>
      </c>
      <c r="C153" s="28" t="s">
        <v>41</v>
      </c>
      <c r="D153" s="28" t="s">
        <v>16</v>
      </c>
      <c r="E153" s="28" t="s">
        <v>27</v>
      </c>
      <c r="F153" s="28" t="s">
        <v>56</v>
      </c>
      <c r="G153" s="6">
        <v>4</v>
      </c>
      <c r="H153" s="15">
        <v>133000</v>
      </c>
      <c r="I153" s="15">
        <v>134800</v>
      </c>
      <c r="J153" s="15">
        <f>PRODUCT('Cleaned Data'!$G153,'Cleaned Data'!$I153)</f>
        <v>539200</v>
      </c>
      <c r="K153" s="15">
        <f>PRODUCT('Cleaned Data'!$G153,'Cleaned Data'!$H153)</f>
        <v>532000</v>
      </c>
      <c r="L153" s="15">
        <f>('Cleaned Data'!$J153-'Cleaned Data'!$K153)</f>
        <v>7200</v>
      </c>
      <c r="M153" s="23">
        <f>('Cleaned Data'!$L153/'Cleaned Data'!$J153)</f>
        <v>1.3353115727002967E-2</v>
      </c>
      <c r="N153" s="5" t="str">
        <f>IF('Cleaned Data'!$G153&gt;10,"High-Volume","Low-Volume")</f>
        <v>Low-Volume</v>
      </c>
      <c r="O153" s="5" t="str">
        <f>IF('Cleaned Data'!$I153&gt;=100000,"Premium","Standard")</f>
        <v>Premium</v>
      </c>
      <c r="P153" s="56" t="str">
        <f>IF(Zen_Elite_Shoe_Sales[[#This Row],[Revenue]]&gt;=1000000,"Top Performer","Average Performer")</f>
        <v>Average Performer</v>
      </c>
    </row>
    <row r="154" spans="1:16" x14ac:dyDescent="0.35">
      <c r="A154" s="46">
        <v>46175</v>
      </c>
      <c r="B154" s="28" t="s">
        <v>44</v>
      </c>
      <c r="C154" s="28" t="s">
        <v>41</v>
      </c>
      <c r="D154" s="28" t="s">
        <v>21</v>
      </c>
      <c r="E154" s="28" t="s">
        <v>12</v>
      </c>
      <c r="F154" s="28" t="s">
        <v>60</v>
      </c>
      <c r="G154" s="6">
        <v>10</v>
      </c>
      <c r="H154" s="15">
        <v>121000</v>
      </c>
      <c r="I154" s="15">
        <v>122800</v>
      </c>
      <c r="J154" s="15">
        <f>PRODUCT('Cleaned Data'!$G154,'Cleaned Data'!$I154)</f>
        <v>1228000</v>
      </c>
      <c r="K154" s="15">
        <f>PRODUCT('Cleaned Data'!$G154,'Cleaned Data'!$H154)</f>
        <v>1210000</v>
      </c>
      <c r="L154" s="15">
        <f>('Cleaned Data'!$J154-'Cleaned Data'!$K154)</f>
        <v>18000</v>
      </c>
      <c r="M154" s="23">
        <f>('Cleaned Data'!$L154/'Cleaned Data'!$J154)</f>
        <v>1.4657980456026058E-2</v>
      </c>
      <c r="N154" s="5" t="str">
        <f>IF('Cleaned Data'!$G154&gt;10,"High-Volume","Low-Volume")</f>
        <v>Low-Volume</v>
      </c>
      <c r="O154" s="5" t="str">
        <f>IF('Cleaned Data'!$I154&gt;=100000,"Premium","Standard")</f>
        <v>Premium</v>
      </c>
      <c r="P154" s="56" t="str">
        <f>IF(Zen_Elite_Shoe_Sales[[#This Row],[Revenue]]&gt;=1000000,"Top Performer","Average Performer")</f>
        <v>Top Performer</v>
      </c>
    </row>
    <row r="155" spans="1:16" x14ac:dyDescent="0.35">
      <c r="A155" s="46">
        <v>46176</v>
      </c>
      <c r="B155" s="28" t="s">
        <v>67</v>
      </c>
      <c r="C155" s="28" t="s">
        <v>15</v>
      </c>
      <c r="D155" s="28" t="s">
        <v>26</v>
      </c>
      <c r="E155" s="28" t="s">
        <v>47</v>
      </c>
      <c r="F155" s="28" t="s">
        <v>63</v>
      </c>
      <c r="G155" s="6">
        <v>15</v>
      </c>
      <c r="H155" s="15">
        <v>54000</v>
      </c>
      <c r="I155" s="15">
        <v>60000</v>
      </c>
      <c r="J155" s="15">
        <f>PRODUCT('Cleaned Data'!$G155,'Cleaned Data'!$I155)</f>
        <v>900000</v>
      </c>
      <c r="K155" s="15">
        <f>PRODUCT('Cleaned Data'!$G155,'Cleaned Data'!$H155)</f>
        <v>810000</v>
      </c>
      <c r="L155" s="15">
        <f>('Cleaned Data'!$J155-'Cleaned Data'!$K155)</f>
        <v>90000</v>
      </c>
      <c r="M155" s="23">
        <f>('Cleaned Data'!$L155/'Cleaned Data'!$J155)</f>
        <v>0.1</v>
      </c>
      <c r="N155" s="5" t="str">
        <f>IF('Cleaned Data'!$G155&gt;10,"High-Volume","Low-Volume")</f>
        <v>High-Volume</v>
      </c>
      <c r="O155" s="5" t="str">
        <f>IF('Cleaned Data'!$I155&gt;=100000,"Premium","Standard")</f>
        <v>Standard</v>
      </c>
      <c r="P155" s="56" t="str">
        <f>IF(Zen_Elite_Shoe_Sales[[#This Row],[Revenue]]&gt;=1000000,"Top Performer","Average Performer")</f>
        <v>Average Performer</v>
      </c>
    </row>
    <row r="156" spans="1:16" x14ac:dyDescent="0.35">
      <c r="A156" s="46">
        <v>46177</v>
      </c>
      <c r="B156" s="28" t="s">
        <v>19</v>
      </c>
      <c r="C156" s="28" t="s">
        <v>50</v>
      </c>
      <c r="D156" s="28" t="s">
        <v>31</v>
      </c>
      <c r="E156" s="28" t="s">
        <v>71</v>
      </c>
      <c r="F156" s="28" t="s">
        <v>13</v>
      </c>
      <c r="G156" s="6">
        <v>10</v>
      </c>
      <c r="H156" s="15">
        <v>42000</v>
      </c>
      <c r="I156" s="15">
        <v>47000</v>
      </c>
      <c r="J156" s="15">
        <f>PRODUCT('Cleaned Data'!$G156,'Cleaned Data'!$I156)</f>
        <v>470000</v>
      </c>
      <c r="K156" s="15">
        <f>PRODUCT('Cleaned Data'!$G156,'Cleaned Data'!$H156)</f>
        <v>420000</v>
      </c>
      <c r="L156" s="15">
        <f>('Cleaned Data'!$J156-'Cleaned Data'!$K156)</f>
        <v>50000</v>
      </c>
      <c r="M156" s="23">
        <f>('Cleaned Data'!$L156/'Cleaned Data'!$J156)</f>
        <v>0.10638297872340426</v>
      </c>
      <c r="N156" s="5" t="str">
        <f>IF('Cleaned Data'!$G156&gt;10,"High-Volume","Low-Volume")</f>
        <v>Low-Volume</v>
      </c>
      <c r="O156" s="5" t="str">
        <f>IF('Cleaned Data'!$I156&gt;=100000,"Premium","Standard")</f>
        <v>Standard</v>
      </c>
      <c r="P156" s="56" t="str">
        <f>IF(Zen_Elite_Shoe_Sales[[#This Row],[Revenue]]&gt;=1000000,"Top Performer","Average Performer")</f>
        <v>Average Performer</v>
      </c>
    </row>
    <row r="157" spans="1:16" x14ac:dyDescent="0.35">
      <c r="A157" s="46">
        <v>46178</v>
      </c>
      <c r="B157" s="28" t="s">
        <v>53</v>
      </c>
      <c r="C157" s="28" t="s">
        <v>15</v>
      </c>
      <c r="D157" s="28" t="s">
        <v>11</v>
      </c>
      <c r="E157" s="28" t="s">
        <v>27</v>
      </c>
      <c r="F157" s="28" t="s">
        <v>18</v>
      </c>
      <c r="G157" s="6">
        <v>8</v>
      </c>
      <c r="H157" s="15">
        <v>63000</v>
      </c>
      <c r="I157" s="15">
        <v>69500</v>
      </c>
      <c r="J157" s="15">
        <f>PRODUCT('Cleaned Data'!$G157,'Cleaned Data'!$I157)</f>
        <v>556000</v>
      </c>
      <c r="K157" s="15">
        <f>PRODUCT('Cleaned Data'!$G157,'Cleaned Data'!$H157)</f>
        <v>504000</v>
      </c>
      <c r="L157" s="15">
        <f>('Cleaned Data'!$J157-'Cleaned Data'!$K157)</f>
        <v>52000</v>
      </c>
      <c r="M157" s="23">
        <f>('Cleaned Data'!$L157/'Cleaned Data'!$J157)</f>
        <v>9.3525179856115109E-2</v>
      </c>
      <c r="N157" s="5" t="str">
        <f>IF('Cleaned Data'!$G157&gt;10,"High-Volume","Low-Volume")</f>
        <v>Low-Volume</v>
      </c>
      <c r="O157" s="5" t="str">
        <f>IF('Cleaned Data'!$I157&gt;=100000,"Premium","Standard")</f>
        <v>Standard</v>
      </c>
      <c r="P157" s="56" t="str">
        <f>IF(Zen_Elite_Shoe_Sales[[#This Row],[Revenue]]&gt;=1000000,"Top Performer","Average Performer")</f>
        <v>Average Performer</v>
      </c>
    </row>
    <row r="158" spans="1:16" x14ac:dyDescent="0.35">
      <c r="A158" s="46">
        <v>46179</v>
      </c>
      <c r="B158" s="28" t="s">
        <v>73</v>
      </c>
      <c r="C158" s="28" t="s">
        <v>30</v>
      </c>
      <c r="D158" s="28" t="s">
        <v>16</v>
      </c>
      <c r="E158" s="28" t="s">
        <v>59</v>
      </c>
      <c r="F158" s="28" t="s">
        <v>23</v>
      </c>
      <c r="G158" s="6">
        <v>12</v>
      </c>
      <c r="H158" s="15">
        <v>55000</v>
      </c>
      <c r="I158" s="15">
        <v>61000</v>
      </c>
      <c r="J158" s="15">
        <f>PRODUCT('Cleaned Data'!$G158,'Cleaned Data'!$I158)</f>
        <v>732000</v>
      </c>
      <c r="K158" s="15">
        <f>PRODUCT('Cleaned Data'!$G158,'Cleaned Data'!$H158)</f>
        <v>660000</v>
      </c>
      <c r="L158" s="15">
        <f>('Cleaned Data'!$J158-'Cleaned Data'!$K158)</f>
        <v>72000</v>
      </c>
      <c r="M158" s="23">
        <f>('Cleaned Data'!$L158/'Cleaned Data'!$J158)</f>
        <v>9.8360655737704916E-2</v>
      </c>
      <c r="N158" s="5" t="str">
        <f>IF('Cleaned Data'!$G158&gt;10,"High-Volume","Low-Volume")</f>
        <v>High-Volume</v>
      </c>
      <c r="O158" s="5" t="str">
        <f>IF('Cleaned Data'!$I158&gt;=100000,"Premium","Standard")</f>
        <v>Standard</v>
      </c>
      <c r="P158" s="56" t="str">
        <f>IF(Zen_Elite_Shoe_Sales[[#This Row],[Revenue]]&gt;=1000000,"Top Performer","Average Performer")</f>
        <v>Average Performer</v>
      </c>
    </row>
    <row r="159" spans="1:16" x14ac:dyDescent="0.35">
      <c r="A159" s="47">
        <v>46180</v>
      </c>
      <c r="B159" s="29" t="s">
        <v>34</v>
      </c>
      <c r="C159" s="29" t="s">
        <v>41</v>
      </c>
      <c r="D159" s="29" t="s">
        <v>21</v>
      </c>
      <c r="E159" s="29" t="s">
        <v>12</v>
      </c>
      <c r="F159" s="29" t="s">
        <v>28</v>
      </c>
      <c r="G159" s="10">
        <v>7</v>
      </c>
      <c r="H159" s="16">
        <v>97000</v>
      </c>
      <c r="I159" s="16">
        <v>98800</v>
      </c>
      <c r="J159" s="16">
        <f>PRODUCT('Cleaned Data'!$G159,'Cleaned Data'!$I159)</f>
        <v>691600</v>
      </c>
      <c r="K159" s="16">
        <f>PRODUCT('Cleaned Data'!$G159,'Cleaned Data'!$H159)</f>
        <v>679000</v>
      </c>
      <c r="L159" s="16">
        <f>('Cleaned Data'!$J159-'Cleaned Data'!$K159)</f>
        <v>12600</v>
      </c>
      <c r="M159" s="24">
        <f>('Cleaned Data'!$L159/'Cleaned Data'!$J159)</f>
        <v>1.8218623481781375E-2</v>
      </c>
      <c r="N159" s="9" t="str">
        <f>IF('Cleaned Data'!$G159&gt;10,"High-Volume","Low-Volume")</f>
        <v>Low-Volume</v>
      </c>
      <c r="O159" s="9" t="str">
        <f>IF('Cleaned Data'!$I159&gt;=100000,"Premium","Standard")</f>
        <v>Standard</v>
      </c>
      <c r="P159" s="56" t="str">
        <f>IF(Zen_Elite_Shoe_Sales[[#This Row],[Revenue]]&gt;=1000000,"Top Performer","Average Performer")</f>
        <v>Average Performer</v>
      </c>
    </row>
    <row r="160" spans="1:16" x14ac:dyDescent="0.35">
      <c r="A160" s="46">
        <v>46181</v>
      </c>
      <c r="B160" s="28" t="s">
        <v>64</v>
      </c>
      <c r="C160" s="28" t="s">
        <v>41</v>
      </c>
      <c r="D160" s="28" t="s">
        <v>26</v>
      </c>
      <c r="E160" s="28" t="s">
        <v>12</v>
      </c>
      <c r="F160" s="28" t="s">
        <v>33</v>
      </c>
      <c r="G160" s="6">
        <v>5</v>
      </c>
      <c r="H160" s="15">
        <v>101000</v>
      </c>
      <c r="I160" s="15">
        <v>102800</v>
      </c>
      <c r="J160" s="15">
        <f>PRODUCT('Cleaned Data'!$G160,'Cleaned Data'!$I160)</f>
        <v>514000</v>
      </c>
      <c r="K160" s="15">
        <f>PRODUCT('Cleaned Data'!$G160,'Cleaned Data'!$H160)</f>
        <v>505000</v>
      </c>
      <c r="L160" s="15">
        <f>('Cleaned Data'!$J160-'Cleaned Data'!$K160)</f>
        <v>9000</v>
      </c>
      <c r="M160" s="23">
        <f>('Cleaned Data'!$L160/'Cleaned Data'!$J160)</f>
        <v>1.7509727626459144E-2</v>
      </c>
      <c r="N160" s="5" t="str">
        <f>IF('Cleaned Data'!$G160&gt;10,"High-Volume","Low-Volume")</f>
        <v>Low-Volume</v>
      </c>
      <c r="O160" s="5" t="str">
        <f>IF('Cleaned Data'!$I160&gt;=100000,"Premium","Standard")</f>
        <v>Premium</v>
      </c>
      <c r="P160" s="56" t="str">
        <f>IF(Zen_Elite_Shoe_Sales[[#This Row],[Revenue]]&gt;=1000000,"Top Performer","Average Performer")</f>
        <v>Average Performer</v>
      </c>
    </row>
    <row r="161" spans="1:16" x14ac:dyDescent="0.35">
      <c r="A161" s="47">
        <v>46182</v>
      </c>
      <c r="B161" s="29" t="s">
        <v>78</v>
      </c>
      <c r="C161" s="29" t="s">
        <v>41</v>
      </c>
      <c r="D161" s="29" t="s">
        <v>31</v>
      </c>
      <c r="E161" s="29" t="s">
        <v>27</v>
      </c>
      <c r="F161" s="29" t="s">
        <v>37</v>
      </c>
      <c r="G161" s="10">
        <v>12</v>
      </c>
      <c r="H161" s="16">
        <v>138000</v>
      </c>
      <c r="I161" s="16">
        <v>139800</v>
      </c>
      <c r="J161" s="16">
        <f>PRODUCT('Cleaned Data'!$G161,'Cleaned Data'!$I161)</f>
        <v>1677600</v>
      </c>
      <c r="K161" s="16">
        <f>PRODUCT('Cleaned Data'!$G161,'Cleaned Data'!$H161)</f>
        <v>1656000</v>
      </c>
      <c r="L161" s="16">
        <f>('Cleaned Data'!$J161-'Cleaned Data'!$K161)</f>
        <v>21600</v>
      </c>
      <c r="M161" s="24">
        <f>('Cleaned Data'!$L161/'Cleaned Data'!$J161)</f>
        <v>1.2875536480686695E-2</v>
      </c>
      <c r="N161" s="9" t="str">
        <f>IF('Cleaned Data'!$G161&gt;10,"High-Volume","Low-Volume")</f>
        <v>High-Volume</v>
      </c>
      <c r="O161" s="9" t="str">
        <f>IF('Cleaned Data'!$I161&gt;=100000,"Premium","Standard")</f>
        <v>Premium</v>
      </c>
      <c r="P161" s="56" t="str">
        <f>IF(Zen_Elite_Shoe_Sales[[#This Row],[Revenue]]&gt;=1000000,"Top Performer","Average Performer")</f>
        <v>Top Performer</v>
      </c>
    </row>
    <row r="162" spans="1:16" x14ac:dyDescent="0.35">
      <c r="A162" s="46">
        <v>46183</v>
      </c>
      <c r="B162" s="28" t="s">
        <v>44</v>
      </c>
      <c r="C162" s="28" t="s">
        <v>41</v>
      </c>
      <c r="D162" s="28" t="s">
        <v>11</v>
      </c>
      <c r="E162" s="28" t="s">
        <v>12</v>
      </c>
      <c r="F162" s="28" t="s">
        <v>39</v>
      </c>
      <c r="G162" s="6">
        <v>7</v>
      </c>
      <c r="H162" s="15">
        <v>131000</v>
      </c>
      <c r="I162" s="15">
        <v>132800</v>
      </c>
      <c r="J162" s="15">
        <f>PRODUCT('Cleaned Data'!$G162,'Cleaned Data'!$I162)</f>
        <v>929600</v>
      </c>
      <c r="K162" s="15">
        <f>PRODUCT('Cleaned Data'!$G162,'Cleaned Data'!$H162)</f>
        <v>917000</v>
      </c>
      <c r="L162" s="15">
        <f>('Cleaned Data'!$J162-'Cleaned Data'!$K162)</f>
        <v>12600</v>
      </c>
      <c r="M162" s="23">
        <f>('Cleaned Data'!$L162/'Cleaned Data'!$J162)</f>
        <v>1.355421686746988E-2</v>
      </c>
      <c r="N162" s="5" t="str">
        <f>IF('Cleaned Data'!$G162&gt;10,"High-Volume","Low-Volume")</f>
        <v>Low-Volume</v>
      </c>
      <c r="O162" s="5" t="str">
        <f>IF('Cleaned Data'!$I162&gt;=100000,"Premium","Standard")</f>
        <v>Premium</v>
      </c>
      <c r="P162" s="56" t="str">
        <f>IF(Zen_Elite_Shoe_Sales[[#This Row],[Revenue]]&gt;=1000000,"Top Performer","Average Performer")</f>
        <v>Average Performer</v>
      </c>
    </row>
    <row r="163" spans="1:16" x14ac:dyDescent="0.35">
      <c r="A163" s="47">
        <v>46184</v>
      </c>
      <c r="B163" s="29" t="s">
        <v>67</v>
      </c>
      <c r="C163" s="29" t="s">
        <v>15</v>
      </c>
      <c r="D163" s="29" t="s">
        <v>16</v>
      </c>
      <c r="E163" s="29" t="s">
        <v>47</v>
      </c>
      <c r="F163" s="29" t="s">
        <v>43</v>
      </c>
      <c r="G163" s="10">
        <v>10</v>
      </c>
      <c r="H163" s="16">
        <v>50000</v>
      </c>
      <c r="I163" s="16">
        <v>55000</v>
      </c>
      <c r="J163" s="16">
        <f>PRODUCT('Cleaned Data'!$G163,'Cleaned Data'!$I163)</f>
        <v>550000</v>
      </c>
      <c r="K163" s="16">
        <f>PRODUCT('Cleaned Data'!$G163,'Cleaned Data'!$H163)</f>
        <v>500000</v>
      </c>
      <c r="L163" s="16">
        <f>('Cleaned Data'!$J163-'Cleaned Data'!$K163)</f>
        <v>50000</v>
      </c>
      <c r="M163" s="24">
        <f>('Cleaned Data'!$L163/'Cleaned Data'!$J163)</f>
        <v>9.0909090909090912E-2</v>
      </c>
      <c r="N163" s="9" t="str">
        <f>IF('Cleaned Data'!$G163&gt;10,"High-Volume","Low-Volume")</f>
        <v>Low-Volume</v>
      </c>
      <c r="O163" s="9" t="str">
        <f>IF('Cleaned Data'!$I163&gt;=100000,"Premium","Standard")</f>
        <v>Standard</v>
      </c>
      <c r="P163" s="56" t="str">
        <f>IF(Zen_Elite_Shoe_Sales[[#This Row],[Revenue]]&gt;=1000000,"Top Performer","Average Performer")</f>
        <v>Average Performer</v>
      </c>
    </row>
    <row r="164" spans="1:16" x14ac:dyDescent="0.35">
      <c r="A164" s="46">
        <v>46185</v>
      </c>
      <c r="B164" s="28" t="s">
        <v>19</v>
      </c>
      <c r="C164" s="28" t="s">
        <v>50</v>
      </c>
      <c r="D164" s="28" t="s">
        <v>21</v>
      </c>
      <c r="E164" s="28" t="s">
        <v>71</v>
      </c>
      <c r="F164" s="28" t="s">
        <v>45</v>
      </c>
      <c r="G164" s="6">
        <v>8</v>
      </c>
      <c r="H164" s="15">
        <v>40000</v>
      </c>
      <c r="I164" s="15">
        <v>45000</v>
      </c>
      <c r="J164" s="15">
        <f>PRODUCT('Cleaned Data'!$G164,'Cleaned Data'!$I164)</f>
        <v>360000</v>
      </c>
      <c r="K164" s="15">
        <f>PRODUCT('Cleaned Data'!$G164,'Cleaned Data'!$H164)</f>
        <v>320000</v>
      </c>
      <c r="L164" s="15">
        <f>('Cleaned Data'!$J164-'Cleaned Data'!$K164)</f>
        <v>40000</v>
      </c>
      <c r="M164" s="23">
        <f>('Cleaned Data'!$L164/'Cleaned Data'!$J164)</f>
        <v>0.1111111111111111</v>
      </c>
      <c r="N164" s="5" t="str">
        <f>IF('Cleaned Data'!$G164&gt;10,"High-Volume","Low-Volume")</f>
        <v>Low-Volume</v>
      </c>
      <c r="O164" s="5" t="str">
        <f>IF('Cleaned Data'!$I164&gt;=100000,"Premium","Standard")</f>
        <v>Standard</v>
      </c>
      <c r="P164" s="56" t="str">
        <f>IF(Zen_Elite_Shoe_Sales[[#This Row],[Revenue]]&gt;=1000000,"Top Performer","Average Performer")</f>
        <v>Average Performer</v>
      </c>
    </row>
    <row r="165" spans="1:16" x14ac:dyDescent="0.35">
      <c r="A165" s="47">
        <v>46186</v>
      </c>
      <c r="B165" s="29" t="s">
        <v>53</v>
      </c>
      <c r="C165" s="29" t="s">
        <v>15</v>
      </c>
      <c r="D165" s="29" t="s">
        <v>26</v>
      </c>
      <c r="E165" s="29" t="s">
        <v>27</v>
      </c>
      <c r="F165" s="29" t="s">
        <v>48</v>
      </c>
      <c r="G165" s="10">
        <v>10</v>
      </c>
      <c r="H165" s="16">
        <v>53000</v>
      </c>
      <c r="I165" s="16">
        <v>59000</v>
      </c>
      <c r="J165" s="16">
        <f>PRODUCT('Cleaned Data'!$G165,'Cleaned Data'!$I165)</f>
        <v>590000</v>
      </c>
      <c r="K165" s="16">
        <f>PRODUCT('Cleaned Data'!$G165,'Cleaned Data'!$H165)</f>
        <v>530000</v>
      </c>
      <c r="L165" s="16">
        <f>('Cleaned Data'!$J165-'Cleaned Data'!$K165)</f>
        <v>60000</v>
      </c>
      <c r="M165" s="24">
        <f>('Cleaned Data'!$L165/'Cleaned Data'!$J165)</f>
        <v>0.10169491525423729</v>
      </c>
      <c r="N165" s="9" t="str">
        <f>IF('Cleaned Data'!$G165&gt;10,"High-Volume","Low-Volume")</f>
        <v>Low-Volume</v>
      </c>
      <c r="O165" s="9" t="str">
        <f>IF('Cleaned Data'!$I165&gt;=100000,"Premium","Standard")</f>
        <v>Standard</v>
      </c>
      <c r="P165" s="56" t="str">
        <f>IF(Zen_Elite_Shoe_Sales[[#This Row],[Revenue]]&gt;=1000000,"Top Performer","Average Performer")</f>
        <v>Average Performer</v>
      </c>
    </row>
    <row r="166" spans="1:16" x14ac:dyDescent="0.35">
      <c r="A166" s="46">
        <v>46187</v>
      </c>
      <c r="B166" s="28" t="s">
        <v>73</v>
      </c>
      <c r="C166" s="28" t="s">
        <v>30</v>
      </c>
      <c r="D166" s="28" t="s">
        <v>31</v>
      </c>
      <c r="E166" s="28" t="s">
        <v>59</v>
      </c>
      <c r="F166" s="28" t="s">
        <v>52</v>
      </c>
      <c r="G166" s="6">
        <v>15</v>
      </c>
      <c r="H166" s="15">
        <v>61000</v>
      </c>
      <c r="I166" s="15">
        <v>67500</v>
      </c>
      <c r="J166" s="15">
        <f>PRODUCT('Cleaned Data'!$G166,'Cleaned Data'!$I166)</f>
        <v>1012500</v>
      </c>
      <c r="K166" s="15">
        <f>PRODUCT('Cleaned Data'!$G166,'Cleaned Data'!$H166)</f>
        <v>915000</v>
      </c>
      <c r="L166" s="15">
        <f>('Cleaned Data'!$J166-'Cleaned Data'!$K166)</f>
        <v>97500</v>
      </c>
      <c r="M166" s="23">
        <f>('Cleaned Data'!$L166/'Cleaned Data'!$J166)</f>
        <v>9.6296296296296297E-2</v>
      </c>
      <c r="N166" s="5" t="str">
        <f>IF('Cleaned Data'!$G166&gt;10,"High-Volume","Low-Volume")</f>
        <v>High-Volume</v>
      </c>
      <c r="O166" s="5" t="str">
        <f>IF('Cleaned Data'!$I166&gt;=100000,"Premium","Standard")</f>
        <v>Standard</v>
      </c>
      <c r="P166" s="56" t="str">
        <f>IF(Zen_Elite_Shoe_Sales[[#This Row],[Revenue]]&gt;=1000000,"Top Performer","Average Performer")</f>
        <v>Top Performer</v>
      </c>
    </row>
    <row r="167" spans="1:16" x14ac:dyDescent="0.35">
      <c r="A167" s="47">
        <v>46188</v>
      </c>
      <c r="B167" s="29" t="s">
        <v>34</v>
      </c>
      <c r="C167" s="29" t="s">
        <v>41</v>
      </c>
      <c r="D167" s="29" t="s">
        <v>11</v>
      </c>
      <c r="E167" s="29" t="s">
        <v>12</v>
      </c>
      <c r="F167" s="29" t="s">
        <v>56</v>
      </c>
      <c r="G167" s="10">
        <v>9</v>
      </c>
      <c r="H167" s="16">
        <v>90000</v>
      </c>
      <c r="I167" s="16">
        <v>91800</v>
      </c>
      <c r="J167" s="16">
        <f>PRODUCT('Cleaned Data'!$G167,'Cleaned Data'!$I167)</f>
        <v>826200</v>
      </c>
      <c r="K167" s="16">
        <f>PRODUCT('Cleaned Data'!$G167,'Cleaned Data'!$H167)</f>
        <v>810000</v>
      </c>
      <c r="L167" s="16">
        <f>('Cleaned Data'!$J167-'Cleaned Data'!$K167)</f>
        <v>16200</v>
      </c>
      <c r="M167" s="24">
        <f>('Cleaned Data'!$L167/'Cleaned Data'!$J167)</f>
        <v>1.9607843137254902E-2</v>
      </c>
      <c r="N167" s="9" t="str">
        <f>IF('Cleaned Data'!$G167&gt;10,"High-Volume","Low-Volume")</f>
        <v>Low-Volume</v>
      </c>
      <c r="O167" s="9" t="str">
        <f>IF('Cleaned Data'!$I167&gt;=100000,"Premium","Standard")</f>
        <v>Standard</v>
      </c>
      <c r="P167" s="56" t="str">
        <f>IF(Zen_Elite_Shoe_Sales[[#This Row],[Revenue]]&gt;=1000000,"Top Performer","Average Performer")</f>
        <v>Average Performer</v>
      </c>
    </row>
    <row r="168" spans="1:16" x14ac:dyDescent="0.35">
      <c r="A168" s="46">
        <v>46189</v>
      </c>
      <c r="B168" s="28" t="s">
        <v>64</v>
      </c>
      <c r="C168" s="28" t="s">
        <v>41</v>
      </c>
      <c r="D168" s="28" t="s">
        <v>16</v>
      </c>
      <c r="E168" s="28" t="s">
        <v>12</v>
      </c>
      <c r="F168" s="28" t="s">
        <v>60</v>
      </c>
      <c r="G168" s="6">
        <v>10</v>
      </c>
      <c r="H168" s="15">
        <v>91000</v>
      </c>
      <c r="I168" s="15">
        <v>92800</v>
      </c>
      <c r="J168" s="15">
        <f>PRODUCT('Cleaned Data'!$G168,'Cleaned Data'!$I168)</f>
        <v>928000</v>
      </c>
      <c r="K168" s="15">
        <f>PRODUCT('Cleaned Data'!$G168,'Cleaned Data'!$H168)</f>
        <v>910000</v>
      </c>
      <c r="L168" s="15">
        <f>('Cleaned Data'!$J168-'Cleaned Data'!$K168)</f>
        <v>18000</v>
      </c>
      <c r="M168" s="23">
        <f>('Cleaned Data'!$L168/'Cleaned Data'!$J168)</f>
        <v>1.9396551724137932E-2</v>
      </c>
      <c r="N168" s="5" t="str">
        <f>IF('Cleaned Data'!$G168&gt;10,"High-Volume","Low-Volume")</f>
        <v>Low-Volume</v>
      </c>
      <c r="O168" s="5" t="str">
        <f>IF('Cleaned Data'!$I168&gt;=100000,"Premium","Standard")</f>
        <v>Standard</v>
      </c>
      <c r="P168" s="56" t="str">
        <f>IF(Zen_Elite_Shoe_Sales[[#This Row],[Revenue]]&gt;=1000000,"Top Performer","Average Performer")</f>
        <v>Average Performer</v>
      </c>
    </row>
    <row r="169" spans="1:16" x14ac:dyDescent="0.35">
      <c r="A169" s="47">
        <v>46190</v>
      </c>
      <c r="B169" s="29" t="s">
        <v>78</v>
      </c>
      <c r="C169" s="29" t="s">
        <v>41</v>
      </c>
      <c r="D169" s="29" t="s">
        <v>21</v>
      </c>
      <c r="E169" s="29" t="s">
        <v>27</v>
      </c>
      <c r="F169" s="29" t="s">
        <v>63</v>
      </c>
      <c r="G169" s="10">
        <v>6</v>
      </c>
      <c r="H169" s="16">
        <v>131000</v>
      </c>
      <c r="I169" s="16">
        <v>132800</v>
      </c>
      <c r="J169" s="16">
        <f>PRODUCT('Cleaned Data'!$G169,'Cleaned Data'!$I169)</f>
        <v>796800</v>
      </c>
      <c r="K169" s="16">
        <f>PRODUCT('Cleaned Data'!$G169,'Cleaned Data'!$H169)</f>
        <v>786000</v>
      </c>
      <c r="L169" s="16">
        <f>('Cleaned Data'!$J169-'Cleaned Data'!$K169)</f>
        <v>10800</v>
      </c>
      <c r="M169" s="24">
        <f>('Cleaned Data'!$L169/'Cleaned Data'!$J169)</f>
        <v>1.355421686746988E-2</v>
      </c>
      <c r="N169" s="9" t="str">
        <f>IF('Cleaned Data'!$G169&gt;10,"High-Volume","Low-Volume")</f>
        <v>Low-Volume</v>
      </c>
      <c r="O169" s="9" t="str">
        <f>IF('Cleaned Data'!$I169&gt;=100000,"Premium","Standard")</f>
        <v>Premium</v>
      </c>
      <c r="P169" s="56" t="str">
        <f>IF(Zen_Elite_Shoe_Sales[[#This Row],[Revenue]]&gt;=1000000,"Top Performer","Average Performer")</f>
        <v>Average Performer</v>
      </c>
    </row>
    <row r="170" spans="1:16" x14ac:dyDescent="0.35">
      <c r="A170" s="46">
        <v>46191</v>
      </c>
      <c r="B170" s="28" t="s">
        <v>44</v>
      </c>
      <c r="C170" s="28" t="s">
        <v>41</v>
      </c>
      <c r="D170" s="28" t="s">
        <v>26</v>
      </c>
      <c r="E170" s="28" t="s">
        <v>12</v>
      </c>
      <c r="F170" s="28" t="s">
        <v>13</v>
      </c>
      <c r="G170" s="6">
        <v>9</v>
      </c>
      <c r="H170" s="15">
        <v>129000</v>
      </c>
      <c r="I170" s="15">
        <v>130800</v>
      </c>
      <c r="J170" s="15">
        <f>PRODUCT('Cleaned Data'!$G170,'Cleaned Data'!$I170)</f>
        <v>1177200</v>
      </c>
      <c r="K170" s="15">
        <f>PRODUCT('Cleaned Data'!$G170,'Cleaned Data'!$H170)</f>
        <v>1161000</v>
      </c>
      <c r="L170" s="15">
        <f>('Cleaned Data'!$J170-'Cleaned Data'!$K170)</f>
        <v>16200</v>
      </c>
      <c r="M170" s="23">
        <f>('Cleaned Data'!$L170/'Cleaned Data'!$J170)</f>
        <v>1.3761467889908258E-2</v>
      </c>
      <c r="N170" s="5" t="str">
        <f>IF('Cleaned Data'!$G170&gt;10,"High-Volume","Low-Volume")</f>
        <v>Low-Volume</v>
      </c>
      <c r="O170" s="5" t="str">
        <f>IF('Cleaned Data'!$I170&gt;=100000,"Premium","Standard")</f>
        <v>Premium</v>
      </c>
      <c r="P170" s="56" t="str">
        <f>IF(Zen_Elite_Shoe_Sales[[#This Row],[Revenue]]&gt;=1000000,"Top Performer","Average Performer")</f>
        <v>Top Performer</v>
      </c>
    </row>
    <row r="171" spans="1:16" x14ac:dyDescent="0.35">
      <c r="A171" s="47">
        <v>46192</v>
      </c>
      <c r="B171" s="29" t="s">
        <v>67</v>
      </c>
      <c r="C171" s="29" t="s">
        <v>15</v>
      </c>
      <c r="D171" s="29" t="s">
        <v>31</v>
      </c>
      <c r="E171" s="29" t="s">
        <v>47</v>
      </c>
      <c r="F171" s="29" t="s">
        <v>18</v>
      </c>
      <c r="G171" s="10">
        <v>8</v>
      </c>
      <c r="H171" s="16">
        <v>62000</v>
      </c>
      <c r="I171" s="16">
        <v>68500</v>
      </c>
      <c r="J171" s="16">
        <f>PRODUCT('Cleaned Data'!$G171,'Cleaned Data'!$I171)</f>
        <v>548000</v>
      </c>
      <c r="K171" s="16">
        <f>PRODUCT('Cleaned Data'!$G171,'Cleaned Data'!$H171)</f>
        <v>496000</v>
      </c>
      <c r="L171" s="16">
        <f>('Cleaned Data'!$J171-'Cleaned Data'!$K171)</f>
        <v>52000</v>
      </c>
      <c r="M171" s="24">
        <f>('Cleaned Data'!$L171/'Cleaned Data'!$J171)</f>
        <v>9.4890510948905105E-2</v>
      </c>
      <c r="N171" s="9" t="str">
        <f>IF('Cleaned Data'!$G171&gt;10,"High-Volume","Low-Volume")</f>
        <v>Low-Volume</v>
      </c>
      <c r="O171" s="9" t="str">
        <f>IF('Cleaned Data'!$I171&gt;=100000,"Premium","Standard")</f>
        <v>Standard</v>
      </c>
      <c r="P171" s="56" t="str">
        <f>IF(Zen_Elite_Shoe_Sales[[#This Row],[Revenue]]&gt;=1000000,"Top Performer","Average Performer")</f>
        <v>Average Performer</v>
      </c>
    </row>
    <row r="172" spans="1:16" x14ac:dyDescent="0.35">
      <c r="A172" s="46">
        <v>46193</v>
      </c>
      <c r="B172" s="28" t="s">
        <v>19</v>
      </c>
      <c r="C172" s="28" t="s">
        <v>50</v>
      </c>
      <c r="D172" s="28" t="s">
        <v>11</v>
      </c>
      <c r="E172" s="28" t="s">
        <v>71</v>
      </c>
      <c r="F172" s="28" t="s">
        <v>23</v>
      </c>
      <c r="G172" s="6">
        <v>4</v>
      </c>
      <c r="H172" s="15">
        <v>42000</v>
      </c>
      <c r="I172" s="15">
        <v>47000</v>
      </c>
      <c r="J172" s="15">
        <f>PRODUCT('Cleaned Data'!$G172,'Cleaned Data'!$I172)</f>
        <v>188000</v>
      </c>
      <c r="K172" s="15">
        <f>PRODUCT('Cleaned Data'!$G172,'Cleaned Data'!$H172)</f>
        <v>168000</v>
      </c>
      <c r="L172" s="15">
        <f>('Cleaned Data'!$J172-'Cleaned Data'!$K172)</f>
        <v>20000</v>
      </c>
      <c r="M172" s="23">
        <f>('Cleaned Data'!$L172/'Cleaned Data'!$J172)</f>
        <v>0.10638297872340426</v>
      </c>
      <c r="N172" s="5" t="str">
        <f>IF('Cleaned Data'!$G172&gt;10,"High-Volume","Low-Volume")</f>
        <v>Low-Volume</v>
      </c>
      <c r="O172" s="5" t="str">
        <f>IF('Cleaned Data'!$I172&gt;=100000,"Premium","Standard")</f>
        <v>Standard</v>
      </c>
      <c r="P172" s="56" t="str">
        <f>IF(Zen_Elite_Shoe_Sales[[#This Row],[Revenue]]&gt;=1000000,"Top Performer","Average Performer")</f>
        <v>Average Performer</v>
      </c>
    </row>
    <row r="173" spans="1:16" x14ac:dyDescent="0.35">
      <c r="A173" s="47">
        <v>46194</v>
      </c>
      <c r="B173" s="29" t="s">
        <v>53</v>
      </c>
      <c r="C173" s="29" t="s">
        <v>15</v>
      </c>
      <c r="D173" s="29" t="s">
        <v>16</v>
      </c>
      <c r="E173" s="29" t="s">
        <v>27</v>
      </c>
      <c r="F173" s="29" t="s">
        <v>28</v>
      </c>
      <c r="G173" s="10">
        <v>6</v>
      </c>
      <c r="H173" s="16">
        <v>58000</v>
      </c>
      <c r="I173" s="16">
        <v>64000</v>
      </c>
      <c r="J173" s="16">
        <f>PRODUCT('Cleaned Data'!$G173,'Cleaned Data'!$I173)</f>
        <v>384000</v>
      </c>
      <c r="K173" s="16">
        <f>PRODUCT('Cleaned Data'!$G173,'Cleaned Data'!$H173)</f>
        <v>348000</v>
      </c>
      <c r="L173" s="16">
        <f>('Cleaned Data'!$J173-'Cleaned Data'!$K173)</f>
        <v>36000</v>
      </c>
      <c r="M173" s="24">
        <f>('Cleaned Data'!$L173/'Cleaned Data'!$J173)</f>
        <v>9.375E-2</v>
      </c>
      <c r="N173" s="9" t="str">
        <f>IF('Cleaned Data'!$G173&gt;10,"High-Volume","Low-Volume")</f>
        <v>Low-Volume</v>
      </c>
      <c r="O173" s="9" t="str">
        <f>IF('Cleaned Data'!$I173&gt;=100000,"Premium","Standard")</f>
        <v>Standard</v>
      </c>
      <c r="P173" s="56" t="str">
        <f>IF(Zen_Elite_Shoe_Sales[[#This Row],[Revenue]]&gt;=1000000,"Top Performer","Average Performer")</f>
        <v>Average Performer</v>
      </c>
    </row>
    <row r="174" spans="1:16" x14ac:dyDescent="0.35">
      <c r="A174" s="46">
        <v>46195</v>
      </c>
      <c r="B174" s="28" t="s">
        <v>73</v>
      </c>
      <c r="C174" s="28" t="s">
        <v>30</v>
      </c>
      <c r="D174" s="28" t="s">
        <v>21</v>
      </c>
      <c r="E174" s="28" t="s">
        <v>59</v>
      </c>
      <c r="F174" s="28" t="s">
        <v>33</v>
      </c>
      <c r="G174" s="6">
        <v>7</v>
      </c>
      <c r="H174" s="15">
        <v>76000</v>
      </c>
      <c r="I174" s="15">
        <v>79000</v>
      </c>
      <c r="J174" s="15">
        <f>PRODUCT('Cleaned Data'!$G174,'Cleaned Data'!$I174)</f>
        <v>553000</v>
      </c>
      <c r="K174" s="15">
        <f>PRODUCT('Cleaned Data'!$G174,'Cleaned Data'!$H174)</f>
        <v>532000</v>
      </c>
      <c r="L174" s="15">
        <f>('Cleaned Data'!$J174-'Cleaned Data'!$K174)</f>
        <v>21000</v>
      </c>
      <c r="M174" s="23">
        <f>('Cleaned Data'!$L174/'Cleaned Data'!$J174)</f>
        <v>3.7974683544303799E-2</v>
      </c>
      <c r="N174" s="5" t="str">
        <f>IF('Cleaned Data'!$G174&gt;10,"High-Volume","Low-Volume")</f>
        <v>Low-Volume</v>
      </c>
      <c r="O174" s="5" t="str">
        <f>IF('Cleaned Data'!$I174&gt;=100000,"Premium","Standard")</f>
        <v>Standard</v>
      </c>
      <c r="P174" s="56" t="str">
        <f>IF(Zen_Elite_Shoe_Sales[[#This Row],[Revenue]]&gt;=1000000,"Top Performer","Average Performer")</f>
        <v>Average Performer</v>
      </c>
    </row>
    <row r="175" spans="1:16" x14ac:dyDescent="0.35">
      <c r="A175" s="47">
        <v>46196</v>
      </c>
      <c r="B175" s="29" t="s">
        <v>34</v>
      </c>
      <c r="C175" s="29" t="s">
        <v>41</v>
      </c>
      <c r="D175" s="29" t="s">
        <v>26</v>
      </c>
      <c r="E175" s="29" t="s">
        <v>12</v>
      </c>
      <c r="F175" s="29" t="s">
        <v>37</v>
      </c>
      <c r="G175" s="10">
        <v>10</v>
      </c>
      <c r="H175" s="16">
        <v>111000</v>
      </c>
      <c r="I175" s="16">
        <v>112800</v>
      </c>
      <c r="J175" s="16">
        <f>PRODUCT('Cleaned Data'!$G175,'Cleaned Data'!$I175)</f>
        <v>1128000</v>
      </c>
      <c r="K175" s="16">
        <f>PRODUCT('Cleaned Data'!$G175,'Cleaned Data'!$H175)</f>
        <v>1110000</v>
      </c>
      <c r="L175" s="16">
        <f>('Cleaned Data'!$J175-'Cleaned Data'!$K175)</f>
        <v>18000</v>
      </c>
      <c r="M175" s="24">
        <f>('Cleaned Data'!$L175/'Cleaned Data'!$J175)</f>
        <v>1.5957446808510637E-2</v>
      </c>
      <c r="N175" s="9" t="str">
        <f>IF('Cleaned Data'!$G175&gt;10,"High-Volume","Low-Volume")</f>
        <v>Low-Volume</v>
      </c>
      <c r="O175" s="9" t="str">
        <f>IF('Cleaned Data'!$I175&gt;=100000,"Premium","Standard")</f>
        <v>Premium</v>
      </c>
      <c r="P175" s="56" t="str">
        <f>IF(Zen_Elite_Shoe_Sales[[#This Row],[Revenue]]&gt;=1000000,"Top Performer","Average Performer")</f>
        <v>Top Performer</v>
      </c>
    </row>
    <row r="176" spans="1:16" x14ac:dyDescent="0.35">
      <c r="A176" s="46">
        <v>46197</v>
      </c>
      <c r="B176" s="28" t="s">
        <v>64</v>
      </c>
      <c r="C176" s="28" t="s">
        <v>41</v>
      </c>
      <c r="D176" s="28" t="s">
        <v>31</v>
      </c>
      <c r="E176" s="28" t="s">
        <v>12</v>
      </c>
      <c r="F176" s="28" t="s">
        <v>39</v>
      </c>
      <c r="G176" s="6">
        <v>6</v>
      </c>
      <c r="H176" s="15">
        <v>95000</v>
      </c>
      <c r="I176" s="15">
        <v>96800</v>
      </c>
      <c r="J176" s="15">
        <f>PRODUCT('Cleaned Data'!$G176,'Cleaned Data'!$I176)</f>
        <v>580800</v>
      </c>
      <c r="K176" s="15">
        <f>PRODUCT('Cleaned Data'!$G176,'Cleaned Data'!$H176)</f>
        <v>570000</v>
      </c>
      <c r="L176" s="15">
        <f>('Cleaned Data'!$J176-'Cleaned Data'!$K176)</f>
        <v>10800</v>
      </c>
      <c r="M176" s="23">
        <f>('Cleaned Data'!$L176/'Cleaned Data'!$J176)</f>
        <v>1.859504132231405E-2</v>
      </c>
      <c r="N176" s="5" t="str">
        <f>IF('Cleaned Data'!$G176&gt;10,"High-Volume","Low-Volume")</f>
        <v>Low-Volume</v>
      </c>
      <c r="O176" s="5" t="str">
        <f>IF('Cleaned Data'!$I176&gt;=100000,"Premium","Standard")</f>
        <v>Standard</v>
      </c>
      <c r="P176" s="56" t="str">
        <f>IF(Zen_Elite_Shoe_Sales[[#This Row],[Revenue]]&gt;=1000000,"Top Performer","Average Performer")</f>
        <v>Average Performer</v>
      </c>
    </row>
    <row r="177" spans="1:16" x14ac:dyDescent="0.35">
      <c r="A177" s="47">
        <v>46198</v>
      </c>
      <c r="B177" s="29" t="s">
        <v>78</v>
      </c>
      <c r="C177" s="29" t="s">
        <v>41</v>
      </c>
      <c r="D177" s="29" t="s">
        <v>11</v>
      </c>
      <c r="E177" s="29" t="s">
        <v>27</v>
      </c>
      <c r="F177" s="29" t="s">
        <v>43</v>
      </c>
      <c r="G177" s="10">
        <v>7</v>
      </c>
      <c r="H177" s="16">
        <v>103000</v>
      </c>
      <c r="I177" s="16">
        <v>104800</v>
      </c>
      <c r="J177" s="16">
        <f>PRODUCT('Cleaned Data'!$G177,'Cleaned Data'!$I177)</f>
        <v>733600</v>
      </c>
      <c r="K177" s="16">
        <f>PRODUCT('Cleaned Data'!$G177,'Cleaned Data'!$H177)</f>
        <v>721000</v>
      </c>
      <c r="L177" s="16">
        <f>('Cleaned Data'!$J177-'Cleaned Data'!$K177)</f>
        <v>12600</v>
      </c>
      <c r="M177" s="24">
        <f>('Cleaned Data'!$L177/'Cleaned Data'!$J177)</f>
        <v>1.717557251908397E-2</v>
      </c>
      <c r="N177" s="9" t="str">
        <f>IF('Cleaned Data'!$G177&gt;10,"High-Volume","Low-Volume")</f>
        <v>Low-Volume</v>
      </c>
      <c r="O177" s="9" t="str">
        <f>IF('Cleaned Data'!$I177&gt;=100000,"Premium","Standard")</f>
        <v>Premium</v>
      </c>
      <c r="P177" s="56" t="str">
        <f>IF(Zen_Elite_Shoe_Sales[[#This Row],[Revenue]]&gt;=1000000,"Top Performer","Average Performer")</f>
        <v>Average Performer</v>
      </c>
    </row>
    <row r="178" spans="1:16" x14ac:dyDescent="0.35">
      <c r="A178" s="46">
        <v>46199</v>
      </c>
      <c r="B178" s="28" t="s">
        <v>44</v>
      </c>
      <c r="C178" s="28" t="s">
        <v>41</v>
      </c>
      <c r="D178" s="28" t="s">
        <v>16</v>
      </c>
      <c r="E178" s="28" t="s">
        <v>12</v>
      </c>
      <c r="F178" s="28" t="s">
        <v>45</v>
      </c>
      <c r="G178" s="6">
        <v>8</v>
      </c>
      <c r="H178" s="15">
        <v>130000</v>
      </c>
      <c r="I178" s="15">
        <v>131800</v>
      </c>
      <c r="J178" s="15">
        <f>PRODUCT('Cleaned Data'!$G178,'Cleaned Data'!$I178)</f>
        <v>1054400</v>
      </c>
      <c r="K178" s="15">
        <f>PRODUCT('Cleaned Data'!$G178,'Cleaned Data'!$H178)</f>
        <v>1040000</v>
      </c>
      <c r="L178" s="15">
        <f>('Cleaned Data'!$J178-'Cleaned Data'!$K178)</f>
        <v>14400</v>
      </c>
      <c r="M178" s="23">
        <f>('Cleaned Data'!$L178/'Cleaned Data'!$J178)</f>
        <v>1.3657056145675266E-2</v>
      </c>
      <c r="N178" s="5" t="str">
        <f>IF('Cleaned Data'!$G178&gt;10,"High-Volume","Low-Volume")</f>
        <v>Low-Volume</v>
      </c>
      <c r="O178" s="5" t="str">
        <f>IF('Cleaned Data'!$I178&gt;=100000,"Premium","Standard")</f>
        <v>Premium</v>
      </c>
      <c r="P178" s="56" t="str">
        <f>IF(Zen_Elite_Shoe_Sales[[#This Row],[Revenue]]&gt;=1000000,"Top Performer","Average Performer")</f>
        <v>Top Performer</v>
      </c>
    </row>
    <row r="179" spans="1:16" x14ac:dyDescent="0.35">
      <c r="A179" s="47">
        <v>46200</v>
      </c>
      <c r="B179" s="29" t="s">
        <v>67</v>
      </c>
      <c r="C179" s="29" t="s">
        <v>15</v>
      </c>
      <c r="D179" s="29" t="s">
        <v>21</v>
      </c>
      <c r="E179" s="29" t="s">
        <v>47</v>
      </c>
      <c r="F179" s="29" t="s">
        <v>48</v>
      </c>
      <c r="G179" s="10">
        <v>3</v>
      </c>
      <c r="H179" s="16">
        <v>54000</v>
      </c>
      <c r="I179" s="16">
        <v>60000</v>
      </c>
      <c r="J179" s="16">
        <f>PRODUCT('Cleaned Data'!$G179,'Cleaned Data'!$I179)</f>
        <v>180000</v>
      </c>
      <c r="K179" s="16">
        <f>PRODUCT('Cleaned Data'!$G179,'Cleaned Data'!$H179)</f>
        <v>162000</v>
      </c>
      <c r="L179" s="16">
        <f>('Cleaned Data'!$J179-'Cleaned Data'!$K179)</f>
        <v>18000</v>
      </c>
      <c r="M179" s="24">
        <f>('Cleaned Data'!$L179/'Cleaned Data'!$J179)</f>
        <v>0.1</v>
      </c>
      <c r="N179" s="9" t="str">
        <f>IF('Cleaned Data'!$G179&gt;10,"High-Volume","Low-Volume")</f>
        <v>Low-Volume</v>
      </c>
      <c r="O179" s="9" t="str">
        <f>IF('Cleaned Data'!$I179&gt;=100000,"Premium","Standard")</f>
        <v>Standard</v>
      </c>
      <c r="P179" s="56" t="str">
        <f>IF(Zen_Elite_Shoe_Sales[[#This Row],[Revenue]]&gt;=1000000,"Top Performer","Average Performer")</f>
        <v>Average Performer</v>
      </c>
    </row>
    <row r="180" spans="1:16" x14ac:dyDescent="0.35">
      <c r="A180" s="46">
        <v>46201</v>
      </c>
      <c r="B180" s="28" t="s">
        <v>19</v>
      </c>
      <c r="C180" s="28" t="s">
        <v>50</v>
      </c>
      <c r="D180" s="28" t="s">
        <v>26</v>
      </c>
      <c r="E180" s="28" t="s">
        <v>71</v>
      </c>
      <c r="F180" s="28" t="s">
        <v>52</v>
      </c>
      <c r="G180" s="6">
        <v>15</v>
      </c>
      <c r="H180" s="15">
        <v>39000</v>
      </c>
      <c r="I180" s="15">
        <v>44000</v>
      </c>
      <c r="J180" s="15">
        <f>PRODUCT('Cleaned Data'!$G180,'Cleaned Data'!$I180)</f>
        <v>660000</v>
      </c>
      <c r="K180" s="15">
        <f>PRODUCT('Cleaned Data'!$G180,'Cleaned Data'!$H180)</f>
        <v>585000</v>
      </c>
      <c r="L180" s="15">
        <f>('Cleaned Data'!$J180-'Cleaned Data'!$K180)</f>
        <v>75000</v>
      </c>
      <c r="M180" s="23">
        <f>('Cleaned Data'!$L180/'Cleaned Data'!$J180)</f>
        <v>0.11363636363636363</v>
      </c>
      <c r="N180" s="5" t="str">
        <f>IF('Cleaned Data'!$G180&gt;10,"High-Volume","Low-Volume")</f>
        <v>High-Volume</v>
      </c>
      <c r="O180" s="5" t="str">
        <f>IF('Cleaned Data'!$I180&gt;=100000,"Premium","Standard")</f>
        <v>Standard</v>
      </c>
      <c r="P180" s="56" t="str">
        <f>IF(Zen_Elite_Shoe_Sales[[#This Row],[Revenue]]&gt;=1000000,"Top Performer","Average Performer")</f>
        <v>Average Performer</v>
      </c>
    </row>
    <row r="181" spans="1:16" x14ac:dyDescent="0.35">
      <c r="A181" s="47">
        <v>46202</v>
      </c>
      <c r="B181" s="29" t="s">
        <v>53</v>
      </c>
      <c r="C181" s="29" t="s">
        <v>15</v>
      </c>
      <c r="D181" s="29" t="s">
        <v>31</v>
      </c>
      <c r="E181" s="29" t="s">
        <v>27</v>
      </c>
      <c r="F181" s="29" t="s">
        <v>56</v>
      </c>
      <c r="G181" s="10">
        <v>13</v>
      </c>
      <c r="H181" s="16">
        <v>53000</v>
      </c>
      <c r="I181" s="16">
        <v>59000</v>
      </c>
      <c r="J181" s="16">
        <f>PRODUCT('Cleaned Data'!$G181,'Cleaned Data'!$I181)</f>
        <v>767000</v>
      </c>
      <c r="K181" s="16">
        <f>PRODUCT('Cleaned Data'!$G181,'Cleaned Data'!$H181)</f>
        <v>689000</v>
      </c>
      <c r="L181" s="16">
        <f>('Cleaned Data'!$J181-'Cleaned Data'!$K181)</f>
        <v>78000</v>
      </c>
      <c r="M181" s="24">
        <f>('Cleaned Data'!$L181/'Cleaned Data'!$J181)</f>
        <v>0.10169491525423729</v>
      </c>
      <c r="N181" s="9" t="str">
        <f>IF('Cleaned Data'!$G181&gt;10,"High-Volume","Low-Volume")</f>
        <v>High-Volume</v>
      </c>
      <c r="O181" s="9" t="str">
        <f>IF('Cleaned Data'!$I181&gt;=100000,"Premium","Standard")</f>
        <v>Standard</v>
      </c>
      <c r="P181" s="56" t="str">
        <f>IF(Zen_Elite_Shoe_Sales[[#This Row],[Revenue]]&gt;=1000000,"Top Performer","Average Performer")</f>
        <v>Average Performer</v>
      </c>
    </row>
    <row r="182" spans="1:16" x14ac:dyDescent="0.35">
      <c r="A182" s="46">
        <v>46203</v>
      </c>
      <c r="B182" s="28" t="s">
        <v>73</v>
      </c>
      <c r="C182" s="28" t="s">
        <v>30</v>
      </c>
      <c r="D182" s="28" t="s">
        <v>11</v>
      </c>
      <c r="E182" s="28" t="s">
        <v>59</v>
      </c>
      <c r="F182" s="28" t="s">
        <v>60</v>
      </c>
      <c r="G182" s="6">
        <v>15</v>
      </c>
      <c r="H182" s="15">
        <v>62000</v>
      </c>
      <c r="I182" s="15">
        <v>68500</v>
      </c>
      <c r="J182" s="15">
        <f>PRODUCT('Cleaned Data'!$G182,'Cleaned Data'!$I182)</f>
        <v>1027500</v>
      </c>
      <c r="K182" s="15">
        <f>PRODUCT('Cleaned Data'!$G182,'Cleaned Data'!$H182)</f>
        <v>930000</v>
      </c>
      <c r="L182" s="15">
        <f>('Cleaned Data'!$J182-'Cleaned Data'!$K182)</f>
        <v>97500</v>
      </c>
      <c r="M182" s="23">
        <f>('Cleaned Data'!$L182/'Cleaned Data'!$J182)</f>
        <v>9.4890510948905105E-2</v>
      </c>
      <c r="N182" s="5" t="str">
        <f>IF('Cleaned Data'!$G182&gt;10,"High-Volume","Low-Volume")</f>
        <v>High-Volume</v>
      </c>
      <c r="O182" s="5" t="str">
        <f>IF('Cleaned Data'!$I182&gt;=100000,"Premium","Standard")</f>
        <v>Standard</v>
      </c>
      <c r="P182" s="56" t="str">
        <f>IF(Zen_Elite_Shoe_Sales[[#This Row],[Revenue]]&gt;=1000000,"Top Performer","Average Performer")</f>
        <v>Top Performer</v>
      </c>
    </row>
    <row r="183" spans="1:16" x14ac:dyDescent="0.35">
      <c r="A183" s="47">
        <v>46204</v>
      </c>
      <c r="B183" s="29" t="s">
        <v>34</v>
      </c>
      <c r="C183" s="29" t="s">
        <v>41</v>
      </c>
      <c r="D183" s="29" t="s">
        <v>16</v>
      </c>
      <c r="E183" s="29" t="s">
        <v>12</v>
      </c>
      <c r="F183" s="29" t="s">
        <v>63</v>
      </c>
      <c r="G183" s="10">
        <v>9</v>
      </c>
      <c r="H183" s="16">
        <v>93000</v>
      </c>
      <c r="I183" s="16">
        <v>94800</v>
      </c>
      <c r="J183" s="16">
        <f>PRODUCT('Cleaned Data'!$G183,'Cleaned Data'!$I183)</f>
        <v>853200</v>
      </c>
      <c r="K183" s="16">
        <f>PRODUCT('Cleaned Data'!$G183,'Cleaned Data'!$H183)</f>
        <v>837000</v>
      </c>
      <c r="L183" s="16">
        <f>('Cleaned Data'!$J183-'Cleaned Data'!$K183)</f>
        <v>16200</v>
      </c>
      <c r="M183" s="24">
        <f>('Cleaned Data'!$L183/'Cleaned Data'!$J183)</f>
        <v>1.8987341772151899E-2</v>
      </c>
      <c r="N183" s="9" t="str">
        <f>IF('Cleaned Data'!$G183&gt;10,"High-Volume","Low-Volume")</f>
        <v>Low-Volume</v>
      </c>
      <c r="O183" s="9" t="str">
        <f>IF('Cleaned Data'!$I183&gt;=100000,"Premium","Standard")</f>
        <v>Standard</v>
      </c>
      <c r="P183" s="56" t="str">
        <f>IF(Zen_Elite_Shoe_Sales[[#This Row],[Revenue]]&gt;=1000000,"Top Performer","Average Performer")</f>
        <v>Average Performer</v>
      </c>
    </row>
    <row r="184" spans="1:16" x14ac:dyDescent="0.35">
      <c r="A184" s="46">
        <v>46205</v>
      </c>
      <c r="B184" s="28" t="s">
        <v>64</v>
      </c>
      <c r="C184" s="28" t="s">
        <v>41</v>
      </c>
      <c r="D184" s="28" t="s">
        <v>21</v>
      </c>
      <c r="E184" s="28" t="s">
        <v>12</v>
      </c>
      <c r="F184" s="28" t="s">
        <v>13</v>
      </c>
      <c r="G184" s="6">
        <v>7</v>
      </c>
      <c r="H184" s="15">
        <v>97000</v>
      </c>
      <c r="I184" s="15">
        <v>98800</v>
      </c>
      <c r="J184" s="15">
        <f>PRODUCT('Cleaned Data'!$G184,'Cleaned Data'!$I184)</f>
        <v>691600</v>
      </c>
      <c r="K184" s="15">
        <f>PRODUCT('Cleaned Data'!$G184,'Cleaned Data'!$H184)</f>
        <v>679000</v>
      </c>
      <c r="L184" s="15">
        <f>('Cleaned Data'!$J184-'Cleaned Data'!$K184)</f>
        <v>12600</v>
      </c>
      <c r="M184" s="23">
        <f>('Cleaned Data'!$L184/'Cleaned Data'!$J184)</f>
        <v>1.8218623481781375E-2</v>
      </c>
      <c r="N184" s="5" t="str">
        <f>IF('Cleaned Data'!$G184&gt;10,"High-Volume","Low-Volume")</f>
        <v>Low-Volume</v>
      </c>
      <c r="O184" s="5" t="str">
        <f>IF('Cleaned Data'!$I184&gt;=100000,"Premium","Standard")</f>
        <v>Standard</v>
      </c>
      <c r="P184" s="56" t="str">
        <f>IF(Zen_Elite_Shoe_Sales[[#This Row],[Revenue]]&gt;=1000000,"Top Performer","Average Performer")</f>
        <v>Average Performer</v>
      </c>
    </row>
    <row r="185" spans="1:16" x14ac:dyDescent="0.35">
      <c r="A185" s="47">
        <v>46206</v>
      </c>
      <c r="B185" s="29" t="s">
        <v>78</v>
      </c>
      <c r="C185" s="29" t="s">
        <v>41</v>
      </c>
      <c r="D185" s="29" t="s">
        <v>26</v>
      </c>
      <c r="E185" s="29" t="s">
        <v>27</v>
      </c>
      <c r="F185" s="29" t="s">
        <v>18</v>
      </c>
      <c r="G185" s="10">
        <v>13</v>
      </c>
      <c r="H185" s="16">
        <v>100000</v>
      </c>
      <c r="I185" s="16">
        <v>101800</v>
      </c>
      <c r="J185" s="16">
        <f>PRODUCT('Cleaned Data'!$G185,'Cleaned Data'!$I185)</f>
        <v>1323400</v>
      </c>
      <c r="K185" s="16">
        <f>PRODUCT('Cleaned Data'!$G185,'Cleaned Data'!$H185)</f>
        <v>1300000</v>
      </c>
      <c r="L185" s="16">
        <f>('Cleaned Data'!$J185-'Cleaned Data'!$K185)</f>
        <v>23400</v>
      </c>
      <c r="M185" s="24">
        <f>('Cleaned Data'!$L185/'Cleaned Data'!$J185)</f>
        <v>1.768172888015717E-2</v>
      </c>
      <c r="N185" s="9" t="str">
        <f>IF('Cleaned Data'!$G185&gt;10,"High-Volume","Low-Volume")</f>
        <v>High-Volume</v>
      </c>
      <c r="O185" s="9" t="str">
        <f>IF('Cleaned Data'!$I185&gt;=100000,"Premium","Standard")</f>
        <v>Premium</v>
      </c>
      <c r="P185" s="56" t="str">
        <f>IF(Zen_Elite_Shoe_Sales[[#This Row],[Revenue]]&gt;=1000000,"Top Performer","Average Performer")</f>
        <v>Top Performer</v>
      </c>
    </row>
    <row r="186" spans="1:16" x14ac:dyDescent="0.35">
      <c r="A186" s="46">
        <v>46207</v>
      </c>
      <c r="B186" s="28" t="s">
        <v>44</v>
      </c>
      <c r="C186" s="28" t="s">
        <v>41</v>
      </c>
      <c r="D186" s="28" t="s">
        <v>31</v>
      </c>
      <c r="E186" s="28" t="s">
        <v>12</v>
      </c>
      <c r="F186" s="28" t="s">
        <v>23</v>
      </c>
      <c r="G186" s="6">
        <v>8</v>
      </c>
      <c r="H186" s="15">
        <v>120000</v>
      </c>
      <c r="I186" s="15">
        <v>121800</v>
      </c>
      <c r="J186" s="15">
        <f>PRODUCT('Cleaned Data'!$G186,'Cleaned Data'!$I186)</f>
        <v>974400</v>
      </c>
      <c r="K186" s="15">
        <f>PRODUCT('Cleaned Data'!$G186,'Cleaned Data'!$H186)</f>
        <v>960000</v>
      </c>
      <c r="L186" s="15">
        <f>('Cleaned Data'!$J186-'Cleaned Data'!$K186)</f>
        <v>14400</v>
      </c>
      <c r="M186" s="23">
        <f>('Cleaned Data'!$L186/'Cleaned Data'!$J186)</f>
        <v>1.4778325123152709E-2</v>
      </c>
      <c r="N186" s="5" t="str">
        <f>IF('Cleaned Data'!$G186&gt;10,"High-Volume","Low-Volume")</f>
        <v>Low-Volume</v>
      </c>
      <c r="O186" s="5" t="str">
        <f>IF('Cleaned Data'!$I186&gt;=100000,"Premium","Standard")</f>
        <v>Premium</v>
      </c>
      <c r="P186" s="56" t="str">
        <f>IF(Zen_Elite_Shoe_Sales[[#This Row],[Revenue]]&gt;=1000000,"Top Performer","Average Performer")</f>
        <v>Average Performer</v>
      </c>
    </row>
    <row r="187" spans="1:16" x14ac:dyDescent="0.35">
      <c r="A187" s="47">
        <v>46208</v>
      </c>
      <c r="B187" s="29" t="s">
        <v>67</v>
      </c>
      <c r="C187" s="29" t="s">
        <v>15</v>
      </c>
      <c r="D187" s="29" t="s">
        <v>11</v>
      </c>
      <c r="E187" s="29" t="s">
        <v>47</v>
      </c>
      <c r="F187" s="29" t="s">
        <v>28</v>
      </c>
      <c r="G187" s="10">
        <v>7</v>
      </c>
      <c r="H187" s="16">
        <v>59000</v>
      </c>
      <c r="I187" s="16">
        <v>65000</v>
      </c>
      <c r="J187" s="16">
        <f>PRODUCT('Cleaned Data'!$G187,'Cleaned Data'!$I187)</f>
        <v>455000</v>
      </c>
      <c r="K187" s="16">
        <f>PRODUCT('Cleaned Data'!$G187,'Cleaned Data'!$H187)</f>
        <v>413000</v>
      </c>
      <c r="L187" s="16">
        <f>('Cleaned Data'!$J187-'Cleaned Data'!$K187)</f>
        <v>42000</v>
      </c>
      <c r="M187" s="24">
        <f>('Cleaned Data'!$L187/'Cleaned Data'!$J187)</f>
        <v>9.2307692307692313E-2</v>
      </c>
      <c r="N187" s="9" t="str">
        <f>IF('Cleaned Data'!$G187&gt;10,"High-Volume","Low-Volume")</f>
        <v>Low-Volume</v>
      </c>
      <c r="O187" s="9" t="str">
        <f>IF('Cleaned Data'!$I187&gt;=100000,"Premium","Standard")</f>
        <v>Standard</v>
      </c>
      <c r="P187" s="56" t="str">
        <f>IF(Zen_Elite_Shoe_Sales[[#This Row],[Revenue]]&gt;=1000000,"Top Performer","Average Performer")</f>
        <v>Average Performer</v>
      </c>
    </row>
    <row r="188" spans="1:16" x14ac:dyDescent="0.35">
      <c r="A188" s="46">
        <v>46209</v>
      </c>
      <c r="B188" s="28" t="s">
        <v>19</v>
      </c>
      <c r="C188" s="28" t="s">
        <v>50</v>
      </c>
      <c r="D188" s="28" t="s">
        <v>16</v>
      </c>
      <c r="E188" s="28" t="s">
        <v>71</v>
      </c>
      <c r="F188" s="28" t="s">
        <v>33</v>
      </c>
      <c r="G188" s="6">
        <v>5</v>
      </c>
      <c r="H188" s="15">
        <v>45000</v>
      </c>
      <c r="I188" s="15">
        <v>50000</v>
      </c>
      <c r="J188" s="15">
        <f>PRODUCT('Cleaned Data'!$G188,'Cleaned Data'!$I188)</f>
        <v>250000</v>
      </c>
      <c r="K188" s="15">
        <f>PRODUCT('Cleaned Data'!$G188,'Cleaned Data'!$H188)</f>
        <v>225000</v>
      </c>
      <c r="L188" s="15">
        <f>('Cleaned Data'!$J188-'Cleaned Data'!$K188)</f>
        <v>25000</v>
      </c>
      <c r="M188" s="23">
        <f>('Cleaned Data'!$L188/'Cleaned Data'!$J188)</f>
        <v>0.1</v>
      </c>
      <c r="N188" s="5" t="str">
        <f>IF('Cleaned Data'!$G188&gt;10,"High-Volume","Low-Volume")</f>
        <v>Low-Volume</v>
      </c>
      <c r="O188" s="5" t="str">
        <f>IF('Cleaned Data'!$I188&gt;=100000,"Premium","Standard")</f>
        <v>Standard</v>
      </c>
      <c r="P188" s="56" t="str">
        <f>IF(Zen_Elite_Shoe_Sales[[#This Row],[Revenue]]&gt;=1000000,"Top Performer","Average Performer")</f>
        <v>Average Performer</v>
      </c>
    </row>
    <row r="189" spans="1:16" x14ac:dyDescent="0.35">
      <c r="A189" s="46">
        <v>46210</v>
      </c>
      <c r="B189" s="28" t="s">
        <v>53</v>
      </c>
      <c r="C189" s="28" t="s">
        <v>15</v>
      </c>
      <c r="D189" s="28" t="s">
        <v>21</v>
      </c>
      <c r="E189" s="28" t="s">
        <v>27</v>
      </c>
      <c r="F189" s="28" t="s">
        <v>37</v>
      </c>
      <c r="G189" s="6">
        <v>14</v>
      </c>
      <c r="H189" s="15">
        <v>53000</v>
      </c>
      <c r="I189" s="15">
        <v>59000</v>
      </c>
      <c r="J189" s="15">
        <f>PRODUCT('Cleaned Data'!$G189,'Cleaned Data'!$I189)</f>
        <v>826000</v>
      </c>
      <c r="K189" s="15">
        <f>PRODUCT('Cleaned Data'!$G189,'Cleaned Data'!$H189)</f>
        <v>742000</v>
      </c>
      <c r="L189" s="15">
        <f>('Cleaned Data'!$J189-'Cleaned Data'!$K189)</f>
        <v>84000</v>
      </c>
      <c r="M189" s="23">
        <f>('Cleaned Data'!$L189/'Cleaned Data'!$J189)</f>
        <v>0.10169491525423729</v>
      </c>
      <c r="N189" s="5" t="str">
        <f>IF('Cleaned Data'!$G189&gt;10,"High-Volume","Low-Volume")</f>
        <v>High-Volume</v>
      </c>
      <c r="O189" s="5" t="str">
        <f>IF('Cleaned Data'!$I189&gt;=100000,"Premium","Standard")</f>
        <v>Standard</v>
      </c>
      <c r="P189" s="56" t="str">
        <f>IF(Zen_Elite_Shoe_Sales[[#This Row],[Revenue]]&gt;=1000000,"Top Performer","Average Performer")</f>
        <v>Average Performer</v>
      </c>
    </row>
    <row r="190" spans="1:16" x14ac:dyDescent="0.35">
      <c r="A190" s="46">
        <v>46211</v>
      </c>
      <c r="B190" s="28" t="s">
        <v>73</v>
      </c>
      <c r="C190" s="28" t="s">
        <v>30</v>
      </c>
      <c r="D190" s="28" t="s">
        <v>26</v>
      </c>
      <c r="E190" s="28" t="s">
        <v>59</v>
      </c>
      <c r="F190" s="28" t="s">
        <v>39</v>
      </c>
      <c r="G190" s="6">
        <v>7</v>
      </c>
      <c r="H190" s="15">
        <v>55000</v>
      </c>
      <c r="I190" s="15">
        <v>61000</v>
      </c>
      <c r="J190" s="15">
        <f>PRODUCT('Cleaned Data'!$G190,'Cleaned Data'!$I190)</f>
        <v>427000</v>
      </c>
      <c r="K190" s="15">
        <f>PRODUCT('Cleaned Data'!$G190,'Cleaned Data'!$H190)</f>
        <v>385000</v>
      </c>
      <c r="L190" s="15">
        <f>('Cleaned Data'!$J190-'Cleaned Data'!$K190)</f>
        <v>42000</v>
      </c>
      <c r="M190" s="23">
        <f>('Cleaned Data'!$L190/'Cleaned Data'!$J190)</f>
        <v>9.8360655737704916E-2</v>
      </c>
      <c r="N190" s="5" t="str">
        <f>IF('Cleaned Data'!$G190&gt;10,"High-Volume","Low-Volume")</f>
        <v>Low-Volume</v>
      </c>
      <c r="O190" s="5" t="str">
        <f>IF('Cleaned Data'!$I190&gt;=100000,"Premium","Standard")</f>
        <v>Standard</v>
      </c>
      <c r="P190" s="56" t="str">
        <f>IF(Zen_Elite_Shoe_Sales[[#This Row],[Revenue]]&gt;=1000000,"Top Performer","Average Performer")</f>
        <v>Average Performer</v>
      </c>
    </row>
    <row r="191" spans="1:16" x14ac:dyDescent="0.35">
      <c r="A191" s="46">
        <v>46212</v>
      </c>
      <c r="B191" s="28" t="s">
        <v>34</v>
      </c>
      <c r="C191" s="28" t="s">
        <v>41</v>
      </c>
      <c r="D191" s="28" t="s">
        <v>31</v>
      </c>
      <c r="E191" s="28" t="s">
        <v>12</v>
      </c>
      <c r="F191" s="28" t="s">
        <v>43</v>
      </c>
      <c r="G191" s="6">
        <v>5</v>
      </c>
      <c r="H191" s="15">
        <v>90000</v>
      </c>
      <c r="I191" s="15">
        <v>91800</v>
      </c>
      <c r="J191" s="15">
        <f>PRODUCT('Cleaned Data'!$G191,'Cleaned Data'!$I191)</f>
        <v>459000</v>
      </c>
      <c r="K191" s="15">
        <f>PRODUCT('Cleaned Data'!$G191,'Cleaned Data'!$H191)</f>
        <v>450000</v>
      </c>
      <c r="L191" s="15">
        <f>('Cleaned Data'!$J191-'Cleaned Data'!$K191)</f>
        <v>9000</v>
      </c>
      <c r="M191" s="23">
        <f>('Cleaned Data'!$L191/'Cleaned Data'!$J191)</f>
        <v>1.9607843137254902E-2</v>
      </c>
      <c r="N191" s="5" t="str">
        <f>IF('Cleaned Data'!$G191&gt;10,"High-Volume","Low-Volume")</f>
        <v>Low-Volume</v>
      </c>
      <c r="O191" s="5" t="str">
        <f>IF('Cleaned Data'!$I191&gt;=100000,"Premium","Standard")</f>
        <v>Standard</v>
      </c>
      <c r="P191" s="56" t="str">
        <f>IF(Zen_Elite_Shoe_Sales[[#This Row],[Revenue]]&gt;=1000000,"Top Performer","Average Performer")</f>
        <v>Average Performer</v>
      </c>
    </row>
    <row r="192" spans="1:16" x14ac:dyDescent="0.35">
      <c r="A192" s="46">
        <v>46213</v>
      </c>
      <c r="B192" s="28" t="s">
        <v>64</v>
      </c>
      <c r="C192" s="28" t="s">
        <v>41</v>
      </c>
      <c r="D192" s="28" t="s">
        <v>11</v>
      </c>
      <c r="E192" s="28" t="s">
        <v>12</v>
      </c>
      <c r="F192" s="28" t="s">
        <v>45</v>
      </c>
      <c r="G192" s="6">
        <v>6</v>
      </c>
      <c r="H192" s="15">
        <v>99000</v>
      </c>
      <c r="I192" s="15">
        <v>100800</v>
      </c>
      <c r="J192" s="15">
        <f>PRODUCT('Cleaned Data'!$G192,'Cleaned Data'!$I192)</f>
        <v>604800</v>
      </c>
      <c r="K192" s="15">
        <f>PRODUCT('Cleaned Data'!$G192,'Cleaned Data'!$H192)</f>
        <v>594000</v>
      </c>
      <c r="L192" s="15">
        <f>('Cleaned Data'!$J192-'Cleaned Data'!$K192)</f>
        <v>10800</v>
      </c>
      <c r="M192" s="23">
        <f>('Cleaned Data'!$L192/'Cleaned Data'!$J192)</f>
        <v>1.7857142857142856E-2</v>
      </c>
      <c r="N192" s="5" t="str">
        <f>IF('Cleaned Data'!$G192&gt;10,"High-Volume","Low-Volume")</f>
        <v>Low-Volume</v>
      </c>
      <c r="O192" s="5" t="str">
        <f>IF('Cleaned Data'!$I192&gt;=100000,"Premium","Standard")</f>
        <v>Premium</v>
      </c>
      <c r="P192" s="56" t="str">
        <f>IF(Zen_Elite_Shoe_Sales[[#This Row],[Revenue]]&gt;=1000000,"Top Performer","Average Performer")</f>
        <v>Average Performer</v>
      </c>
    </row>
    <row r="193" spans="1:16" x14ac:dyDescent="0.35">
      <c r="A193" s="46">
        <v>46214</v>
      </c>
      <c r="B193" s="28" t="s">
        <v>78</v>
      </c>
      <c r="C193" s="28" t="s">
        <v>41</v>
      </c>
      <c r="D193" s="28" t="s">
        <v>16</v>
      </c>
      <c r="E193" s="28" t="s">
        <v>27</v>
      </c>
      <c r="F193" s="28" t="s">
        <v>48</v>
      </c>
      <c r="G193" s="6">
        <v>9</v>
      </c>
      <c r="H193" s="15">
        <v>100000</v>
      </c>
      <c r="I193" s="15">
        <v>101800</v>
      </c>
      <c r="J193" s="15">
        <f>PRODUCT('Cleaned Data'!$G193,'Cleaned Data'!$I193)</f>
        <v>916200</v>
      </c>
      <c r="K193" s="15">
        <f>PRODUCT('Cleaned Data'!$G193,'Cleaned Data'!$H193)</f>
        <v>900000</v>
      </c>
      <c r="L193" s="15">
        <f>('Cleaned Data'!$J193-'Cleaned Data'!$K193)</f>
        <v>16200</v>
      </c>
      <c r="M193" s="23">
        <f>('Cleaned Data'!$L193/'Cleaned Data'!$J193)</f>
        <v>1.768172888015717E-2</v>
      </c>
      <c r="N193" s="5" t="str">
        <f>IF('Cleaned Data'!$G193&gt;10,"High-Volume","Low-Volume")</f>
        <v>Low-Volume</v>
      </c>
      <c r="O193" s="5" t="str">
        <f>IF('Cleaned Data'!$I193&gt;=100000,"Premium","Standard")</f>
        <v>Premium</v>
      </c>
      <c r="P193" s="56" t="str">
        <f>IF(Zen_Elite_Shoe_Sales[[#This Row],[Revenue]]&gt;=1000000,"Top Performer","Average Performer")</f>
        <v>Average Performer</v>
      </c>
    </row>
    <row r="194" spans="1:16" x14ac:dyDescent="0.35">
      <c r="A194" s="46">
        <v>46215</v>
      </c>
      <c r="B194" s="28" t="s">
        <v>44</v>
      </c>
      <c r="C194" s="28" t="s">
        <v>41</v>
      </c>
      <c r="D194" s="28" t="s">
        <v>21</v>
      </c>
      <c r="E194" s="28" t="s">
        <v>12</v>
      </c>
      <c r="F194" s="28" t="s">
        <v>52</v>
      </c>
      <c r="G194" s="6">
        <v>5</v>
      </c>
      <c r="H194" s="15">
        <v>101000</v>
      </c>
      <c r="I194" s="15">
        <v>102800</v>
      </c>
      <c r="J194" s="15">
        <f>PRODUCT('Cleaned Data'!$G194,'Cleaned Data'!$I194)</f>
        <v>514000</v>
      </c>
      <c r="K194" s="15">
        <f>PRODUCT('Cleaned Data'!$G194,'Cleaned Data'!$H194)</f>
        <v>505000</v>
      </c>
      <c r="L194" s="15">
        <f>('Cleaned Data'!$J194-'Cleaned Data'!$K194)</f>
        <v>9000</v>
      </c>
      <c r="M194" s="23">
        <f>('Cleaned Data'!$L194/'Cleaned Data'!$J194)</f>
        <v>1.7509727626459144E-2</v>
      </c>
      <c r="N194" s="5" t="str">
        <f>IF('Cleaned Data'!$G194&gt;10,"High-Volume","Low-Volume")</f>
        <v>Low-Volume</v>
      </c>
      <c r="O194" s="5" t="str">
        <f>IF('Cleaned Data'!$I194&gt;=100000,"Premium","Standard")</f>
        <v>Premium</v>
      </c>
      <c r="P194" s="56" t="str">
        <f>IF(Zen_Elite_Shoe_Sales[[#This Row],[Revenue]]&gt;=1000000,"Top Performer","Average Performer")</f>
        <v>Average Performer</v>
      </c>
    </row>
    <row r="195" spans="1:16" x14ac:dyDescent="0.35">
      <c r="A195" s="46">
        <v>46216</v>
      </c>
      <c r="B195" s="28" t="s">
        <v>67</v>
      </c>
      <c r="C195" s="28" t="s">
        <v>15</v>
      </c>
      <c r="D195" s="28" t="s">
        <v>26</v>
      </c>
      <c r="E195" s="28" t="s">
        <v>47</v>
      </c>
      <c r="F195" s="28" t="s">
        <v>56</v>
      </c>
      <c r="G195" s="6">
        <v>10</v>
      </c>
      <c r="H195" s="15">
        <v>55000</v>
      </c>
      <c r="I195" s="15">
        <v>61000</v>
      </c>
      <c r="J195" s="15">
        <f>PRODUCT('Cleaned Data'!$G195,'Cleaned Data'!$I195)</f>
        <v>610000</v>
      </c>
      <c r="K195" s="15">
        <f>PRODUCT('Cleaned Data'!$G195,'Cleaned Data'!$H195)</f>
        <v>550000</v>
      </c>
      <c r="L195" s="15">
        <f>('Cleaned Data'!$J195-'Cleaned Data'!$K195)</f>
        <v>60000</v>
      </c>
      <c r="M195" s="23">
        <f>('Cleaned Data'!$L195/'Cleaned Data'!$J195)</f>
        <v>9.8360655737704916E-2</v>
      </c>
      <c r="N195" s="5" t="str">
        <f>IF('Cleaned Data'!$G195&gt;10,"High-Volume","Low-Volume")</f>
        <v>Low-Volume</v>
      </c>
      <c r="O195" s="5" t="str">
        <f>IF('Cleaned Data'!$I195&gt;=100000,"Premium","Standard")</f>
        <v>Standard</v>
      </c>
      <c r="P195" s="56" t="str">
        <f>IF(Zen_Elite_Shoe_Sales[[#This Row],[Revenue]]&gt;=1000000,"Top Performer","Average Performer")</f>
        <v>Average Performer</v>
      </c>
    </row>
    <row r="196" spans="1:16" x14ac:dyDescent="0.35">
      <c r="A196" s="46">
        <v>46217</v>
      </c>
      <c r="B196" s="28" t="s">
        <v>19</v>
      </c>
      <c r="C196" s="28" t="s">
        <v>50</v>
      </c>
      <c r="D196" s="28" t="s">
        <v>31</v>
      </c>
      <c r="E196" s="28" t="s">
        <v>71</v>
      </c>
      <c r="F196" s="28" t="s">
        <v>60</v>
      </c>
      <c r="G196" s="6">
        <v>7</v>
      </c>
      <c r="H196" s="15">
        <v>41000</v>
      </c>
      <c r="I196" s="15">
        <v>46000</v>
      </c>
      <c r="J196" s="15">
        <f>PRODUCT('Cleaned Data'!$G196,'Cleaned Data'!$I196)</f>
        <v>322000</v>
      </c>
      <c r="K196" s="15">
        <f>PRODUCT('Cleaned Data'!$G196,'Cleaned Data'!$H196)</f>
        <v>287000</v>
      </c>
      <c r="L196" s="15">
        <f>('Cleaned Data'!$J196-'Cleaned Data'!$K196)</f>
        <v>35000</v>
      </c>
      <c r="M196" s="23">
        <f>('Cleaned Data'!$L196/'Cleaned Data'!$J196)</f>
        <v>0.10869565217391304</v>
      </c>
      <c r="N196" s="5" t="str">
        <f>IF('Cleaned Data'!$G196&gt;10,"High-Volume","Low-Volume")</f>
        <v>Low-Volume</v>
      </c>
      <c r="O196" s="5" t="str">
        <f>IF('Cleaned Data'!$I196&gt;=100000,"Premium","Standard")</f>
        <v>Standard</v>
      </c>
      <c r="P196" s="56" t="str">
        <f>IF(Zen_Elite_Shoe_Sales[[#This Row],[Revenue]]&gt;=1000000,"Top Performer","Average Performer")</f>
        <v>Average Performer</v>
      </c>
    </row>
    <row r="197" spans="1:16" x14ac:dyDescent="0.35">
      <c r="A197" s="46">
        <v>46218</v>
      </c>
      <c r="B197" s="28" t="s">
        <v>53</v>
      </c>
      <c r="C197" s="28" t="s">
        <v>15</v>
      </c>
      <c r="D197" s="28" t="s">
        <v>11</v>
      </c>
      <c r="E197" s="28" t="s">
        <v>27</v>
      </c>
      <c r="F197" s="28" t="s">
        <v>63</v>
      </c>
      <c r="G197" s="6">
        <v>4</v>
      </c>
      <c r="H197" s="15">
        <v>71000</v>
      </c>
      <c r="I197" s="15">
        <v>74000</v>
      </c>
      <c r="J197" s="15">
        <f>PRODUCT('Cleaned Data'!$G197,'Cleaned Data'!$I197)</f>
        <v>296000</v>
      </c>
      <c r="K197" s="15">
        <f>PRODUCT('Cleaned Data'!$G197,'Cleaned Data'!$H197)</f>
        <v>284000</v>
      </c>
      <c r="L197" s="15">
        <f>('Cleaned Data'!$J197-'Cleaned Data'!$K197)</f>
        <v>12000</v>
      </c>
      <c r="M197" s="23">
        <f>('Cleaned Data'!$L197/'Cleaned Data'!$J197)</f>
        <v>4.0540540540540543E-2</v>
      </c>
      <c r="N197" s="5" t="str">
        <f>IF('Cleaned Data'!$G197&gt;10,"High-Volume","Low-Volume")</f>
        <v>Low-Volume</v>
      </c>
      <c r="O197" s="5" t="str">
        <f>IF('Cleaned Data'!$I197&gt;=100000,"Premium","Standard")</f>
        <v>Standard</v>
      </c>
      <c r="P197" s="56" t="str">
        <f>IF(Zen_Elite_Shoe_Sales[[#This Row],[Revenue]]&gt;=1000000,"Top Performer","Average Performer")</f>
        <v>Average Performer</v>
      </c>
    </row>
    <row r="198" spans="1:16" x14ac:dyDescent="0.35">
      <c r="A198" s="46">
        <v>46219</v>
      </c>
      <c r="B198" s="28" t="s">
        <v>73</v>
      </c>
      <c r="C198" s="28" t="s">
        <v>30</v>
      </c>
      <c r="D198" s="28" t="s">
        <v>16</v>
      </c>
      <c r="E198" s="28" t="s">
        <v>59</v>
      </c>
      <c r="F198" s="28" t="s">
        <v>13</v>
      </c>
      <c r="G198" s="6">
        <v>5</v>
      </c>
      <c r="H198" s="15">
        <v>66000</v>
      </c>
      <c r="I198" s="15">
        <v>72500</v>
      </c>
      <c r="J198" s="15">
        <f>PRODUCT('Cleaned Data'!$G198,'Cleaned Data'!$I198)</f>
        <v>362500</v>
      </c>
      <c r="K198" s="15">
        <f>PRODUCT('Cleaned Data'!$G198,'Cleaned Data'!$H198)</f>
        <v>330000</v>
      </c>
      <c r="L198" s="15">
        <f>('Cleaned Data'!$J198-'Cleaned Data'!$K198)</f>
        <v>32500</v>
      </c>
      <c r="M198" s="23">
        <f>('Cleaned Data'!$L198/'Cleaned Data'!$J198)</f>
        <v>8.9655172413793102E-2</v>
      </c>
      <c r="N198" s="5" t="str">
        <f>IF('Cleaned Data'!$G198&gt;10,"High-Volume","Low-Volume")</f>
        <v>Low-Volume</v>
      </c>
      <c r="O198" s="5" t="str">
        <f>IF('Cleaned Data'!$I198&gt;=100000,"Premium","Standard")</f>
        <v>Standard</v>
      </c>
      <c r="P198" s="56" t="str">
        <f>IF(Zen_Elite_Shoe_Sales[[#This Row],[Revenue]]&gt;=1000000,"Top Performer","Average Performer")</f>
        <v>Average Performer</v>
      </c>
    </row>
    <row r="199" spans="1:16" x14ac:dyDescent="0.35">
      <c r="A199" s="46">
        <v>46220</v>
      </c>
      <c r="B199" s="28" t="s">
        <v>34</v>
      </c>
      <c r="C199" s="28" t="s">
        <v>41</v>
      </c>
      <c r="D199" s="28" t="s">
        <v>21</v>
      </c>
      <c r="E199" s="28" t="s">
        <v>12</v>
      </c>
      <c r="F199" s="28" t="s">
        <v>18</v>
      </c>
      <c r="G199" s="6">
        <v>6</v>
      </c>
      <c r="H199" s="15">
        <v>117000</v>
      </c>
      <c r="I199" s="15">
        <v>118800</v>
      </c>
      <c r="J199" s="15">
        <f>PRODUCT('Cleaned Data'!$G199,'Cleaned Data'!$I199)</f>
        <v>712800</v>
      </c>
      <c r="K199" s="15">
        <f>PRODUCT('Cleaned Data'!$G199,'Cleaned Data'!$H199)</f>
        <v>702000</v>
      </c>
      <c r="L199" s="15">
        <f>('Cleaned Data'!$J199-'Cleaned Data'!$K199)</f>
        <v>10800</v>
      </c>
      <c r="M199" s="23">
        <f>('Cleaned Data'!$L199/'Cleaned Data'!$J199)</f>
        <v>1.5151515151515152E-2</v>
      </c>
      <c r="N199" s="5" t="str">
        <f>IF('Cleaned Data'!$G199&gt;10,"High-Volume","Low-Volume")</f>
        <v>Low-Volume</v>
      </c>
      <c r="O199" s="5" t="str">
        <f>IF('Cleaned Data'!$I199&gt;=100000,"Premium","Standard")</f>
        <v>Premium</v>
      </c>
      <c r="P199" s="56" t="str">
        <f>IF(Zen_Elite_Shoe_Sales[[#This Row],[Revenue]]&gt;=1000000,"Top Performer","Average Performer")</f>
        <v>Average Performer</v>
      </c>
    </row>
    <row r="200" spans="1:16" x14ac:dyDescent="0.35">
      <c r="A200" s="46">
        <v>46221</v>
      </c>
      <c r="B200" s="28" t="s">
        <v>64</v>
      </c>
      <c r="C200" s="28" t="s">
        <v>41</v>
      </c>
      <c r="D200" s="28" t="s">
        <v>26</v>
      </c>
      <c r="E200" s="28" t="s">
        <v>12</v>
      </c>
      <c r="F200" s="28" t="s">
        <v>23</v>
      </c>
      <c r="G200" s="6">
        <v>4</v>
      </c>
      <c r="H200" s="15">
        <v>88000</v>
      </c>
      <c r="I200" s="15">
        <v>89800</v>
      </c>
      <c r="J200" s="15">
        <f>PRODUCT('Cleaned Data'!$G200,'Cleaned Data'!$I200)</f>
        <v>359200</v>
      </c>
      <c r="K200" s="15">
        <f>PRODUCT('Cleaned Data'!$G200,'Cleaned Data'!$H200)</f>
        <v>352000</v>
      </c>
      <c r="L200" s="15">
        <f>('Cleaned Data'!$J200-'Cleaned Data'!$K200)</f>
        <v>7200</v>
      </c>
      <c r="M200" s="23">
        <f>('Cleaned Data'!$L200/'Cleaned Data'!$J200)</f>
        <v>2.0044543429844099E-2</v>
      </c>
      <c r="N200" s="5" t="str">
        <f>IF('Cleaned Data'!$G200&gt;10,"High-Volume","Low-Volume")</f>
        <v>Low-Volume</v>
      </c>
      <c r="O200" s="5" t="str">
        <f>IF('Cleaned Data'!$I200&gt;=100000,"Premium","Standard")</f>
        <v>Standard</v>
      </c>
      <c r="P200" s="56" t="str">
        <f>IF(Zen_Elite_Shoe_Sales[[#This Row],[Revenue]]&gt;=1000000,"Top Performer","Average Performer")</f>
        <v>Average Performer</v>
      </c>
    </row>
    <row r="201" spans="1:16" x14ac:dyDescent="0.35">
      <c r="A201" s="46">
        <v>46222</v>
      </c>
      <c r="B201" s="28" t="s">
        <v>78</v>
      </c>
      <c r="C201" s="28" t="s">
        <v>41</v>
      </c>
      <c r="D201" s="28" t="s">
        <v>31</v>
      </c>
      <c r="E201" s="28" t="s">
        <v>27</v>
      </c>
      <c r="F201" s="28" t="s">
        <v>28</v>
      </c>
      <c r="G201" s="6">
        <v>3</v>
      </c>
      <c r="H201" s="15">
        <v>112000</v>
      </c>
      <c r="I201" s="15">
        <v>113800</v>
      </c>
      <c r="J201" s="15">
        <f>PRODUCT('Cleaned Data'!$G201,'Cleaned Data'!$I201)</f>
        <v>341400</v>
      </c>
      <c r="K201" s="15">
        <f>PRODUCT('Cleaned Data'!$G201,'Cleaned Data'!$H201)</f>
        <v>336000</v>
      </c>
      <c r="L201" s="15">
        <f>('Cleaned Data'!$J201-'Cleaned Data'!$K201)</f>
        <v>5400</v>
      </c>
      <c r="M201" s="23">
        <f>('Cleaned Data'!$L201/'Cleaned Data'!$J201)</f>
        <v>1.5817223198594025E-2</v>
      </c>
      <c r="N201" s="5" t="str">
        <f>IF('Cleaned Data'!$G201&gt;10,"High-Volume","Low-Volume")</f>
        <v>Low-Volume</v>
      </c>
      <c r="O201" s="5" t="str">
        <f>IF('Cleaned Data'!$I201&gt;=100000,"Premium","Standard")</f>
        <v>Premium</v>
      </c>
      <c r="P201" s="56" t="str">
        <f>IF(Zen_Elite_Shoe_Sales[[#This Row],[Revenue]]&gt;=1000000,"Top Performer","Average Performer")</f>
        <v>Average Performer</v>
      </c>
    </row>
    <row r="202" spans="1:16" x14ac:dyDescent="0.35">
      <c r="A202" s="46">
        <v>46223</v>
      </c>
      <c r="B202" s="28" t="s">
        <v>67</v>
      </c>
      <c r="C202" s="28" t="s">
        <v>15</v>
      </c>
      <c r="D202" s="28" t="s">
        <v>16</v>
      </c>
      <c r="E202" s="28" t="s">
        <v>27</v>
      </c>
      <c r="F202" s="28" t="s">
        <v>43</v>
      </c>
      <c r="G202" s="6">
        <v>9</v>
      </c>
      <c r="H202" s="15">
        <v>62000</v>
      </c>
      <c r="I202" s="15">
        <v>68500</v>
      </c>
      <c r="J202" s="15">
        <f>PRODUCT('Cleaned Data'!$G202,'Cleaned Data'!$I202)</f>
        <v>616500</v>
      </c>
      <c r="K202" s="15">
        <f>PRODUCT('Cleaned Data'!$G202,'Cleaned Data'!$H202)</f>
        <v>558000</v>
      </c>
      <c r="L202" s="15">
        <f>('Cleaned Data'!$J202-'Cleaned Data'!$K202)</f>
        <v>58500</v>
      </c>
      <c r="M202" s="23">
        <f>('Cleaned Data'!$L202/'Cleaned Data'!$J202)</f>
        <v>9.4890510948905105E-2</v>
      </c>
      <c r="N202" s="5" t="str">
        <f>IF('Cleaned Data'!$G202&gt;10,"High-Volume","Low-Volume")</f>
        <v>Low-Volume</v>
      </c>
      <c r="O202" s="5" t="str">
        <f>IF('Cleaned Data'!$I202&gt;=100000,"Premium","Standard")</f>
        <v>Standard</v>
      </c>
      <c r="P202" s="56" t="str">
        <f>IF(Zen_Elite_Shoe_Sales[[#This Row],[Revenue]]&gt;=1000000,"Top Performer","Average Performer")</f>
        <v>Average Performer</v>
      </c>
    </row>
    <row r="203" spans="1:16" x14ac:dyDescent="0.35">
      <c r="A203" s="46">
        <v>46224</v>
      </c>
      <c r="B203" s="28" t="s">
        <v>73</v>
      </c>
      <c r="C203" s="28" t="s">
        <v>30</v>
      </c>
      <c r="D203" s="28" t="s">
        <v>21</v>
      </c>
      <c r="E203" s="28" t="s">
        <v>27</v>
      </c>
      <c r="F203" s="28" t="s">
        <v>63</v>
      </c>
      <c r="G203" s="6">
        <v>11</v>
      </c>
      <c r="H203" s="15">
        <v>62000</v>
      </c>
      <c r="I203" s="15">
        <v>68500</v>
      </c>
      <c r="J203" s="15">
        <f>PRODUCT('Cleaned Data'!$G203,'Cleaned Data'!$I203)</f>
        <v>753500</v>
      </c>
      <c r="K203" s="15">
        <f>PRODUCT('Cleaned Data'!$G203,'Cleaned Data'!$H203)</f>
        <v>682000</v>
      </c>
      <c r="L203" s="15">
        <f>('Cleaned Data'!$J203-'Cleaned Data'!$K203)</f>
        <v>71500</v>
      </c>
      <c r="M203" s="23">
        <f>('Cleaned Data'!$L203/'Cleaned Data'!$J203)</f>
        <v>9.4890510948905105E-2</v>
      </c>
      <c r="N203" s="5" t="str">
        <f>IF('Cleaned Data'!$G203&gt;10,"High-Volume","Low-Volume")</f>
        <v>High-Volume</v>
      </c>
      <c r="O203" s="5" t="str">
        <f>IF('Cleaned Data'!$I203&gt;=100000,"Premium","Standard")</f>
        <v>Standard</v>
      </c>
      <c r="P203" s="56" t="str">
        <f>IF(Zen_Elite_Shoe_Sales[[#This Row],[Revenue]]&gt;=1000000,"Top Performer","Average Performer")</f>
        <v>Average Performer</v>
      </c>
    </row>
    <row r="204" spans="1:16" x14ac:dyDescent="0.35">
      <c r="A204" s="46">
        <v>46225</v>
      </c>
      <c r="B204" s="28" t="s">
        <v>73</v>
      </c>
      <c r="C204" s="28" t="s">
        <v>30</v>
      </c>
      <c r="D204" s="28" t="s">
        <v>26</v>
      </c>
      <c r="E204" s="28" t="s">
        <v>27</v>
      </c>
      <c r="F204" s="28" t="s">
        <v>37</v>
      </c>
      <c r="G204" s="6">
        <v>10</v>
      </c>
      <c r="H204" s="15">
        <v>63000</v>
      </c>
      <c r="I204" s="15">
        <v>69500</v>
      </c>
      <c r="J204" s="15">
        <f>PRODUCT('Cleaned Data'!$G204,'Cleaned Data'!$I204)</f>
        <v>695000</v>
      </c>
      <c r="K204" s="15">
        <f>PRODUCT('Cleaned Data'!$G204,'Cleaned Data'!$H204)</f>
        <v>630000</v>
      </c>
      <c r="L204" s="15">
        <f>('Cleaned Data'!$J204-'Cleaned Data'!$K204)</f>
        <v>65000</v>
      </c>
      <c r="M204" s="23">
        <f>('Cleaned Data'!$L204/'Cleaned Data'!$J204)</f>
        <v>9.3525179856115109E-2</v>
      </c>
      <c r="N204" s="5" t="str">
        <f>IF('Cleaned Data'!$G204&gt;10,"High-Volume","Low-Volume")</f>
        <v>Low-Volume</v>
      </c>
      <c r="O204" s="5" t="str">
        <f>IF('Cleaned Data'!$I204&gt;=100000,"Premium","Standard")</f>
        <v>Standard</v>
      </c>
      <c r="P204" s="56" t="str">
        <f>IF(Zen_Elite_Shoe_Sales[[#This Row],[Revenue]]&gt;=1000000,"Top Performer","Average Performer")</f>
        <v>Average Performer</v>
      </c>
    </row>
    <row r="205" spans="1:16" x14ac:dyDescent="0.35">
      <c r="A205" s="46">
        <v>46226</v>
      </c>
      <c r="B205" s="28" t="s">
        <v>73</v>
      </c>
      <c r="C205" s="28" t="s">
        <v>30</v>
      </c>
      <c r="D205" s="28" t="s">
        <v>16</v>
      </c>
      <c r="E205" s="28" t="s">
        <v>47</v>
      </c>
      <c r="F205" s="28" t="s">
        <v>63</v>
      </c>
      <c r="G205" s="6">
        <v>11</v>
      </c>
      <c r="H205" s="15">
        <v>61000</v>
      </c>
      <c r="I205" s="15">
        <v>67500</v>
      </c>
      <c r="J205" s="15">
        <f>PRODUCT('Cleaned Data'!$G205,'Cleaned Data'!$I205)</f>
        <v>742500</v>
      </c>
      <c r="K205" s="15">
        <f>PRODUCT('Cleaned Data'!$G205,'Cleaned Data'!$H205)</f>
        <v>671000</v>
      </c>
      <c r="L205" s="15">
        <f>('Cleaned Data'!$J205-'Cleaned Data'!$K205)</f>
        <v>71500</v>
      </c>
      <c r="M205" s="23">
        <f>('Cleaned Data'!$L205/'Cleaned Data'!$J205)</f>
        <v>9.6296296296296297E-2</v>
      </c>
      <c r="N205" s="5" t="str">
        <f>IF('Cleaned Data'!$G205&gt;10,"High-Volume","Low-Volume")</f>
        <v>High-Volume</v>
      </c>
      <c r="O205" s="5" t="str">
        <f>IF('Cleaned Data'!$I205&gt;=100000,"Premium","Standard")</f>
        <v>Standard</v>
      </c>
      <c r="P205" s="56" t="str">
        <f>IF(Zen_Elite_Shoe_Sales[[#This Row],[Revenue]]&gt;=1000000,"Top Performer","Average Performer")</f>
        <v>Average Performer</v>
      </c>
    </row>
    <row r="206" spans="1:16" x14ac:dyDescent="0.35">
      <c r="A206" s="46">
        <v>46227</v>
      </c>
      <c r="B206" s="28" t="s">
        <v>19</v>
      </c>
      <c r="C206" s="28" t="s">
        <v>50</v>
      </c>
      <c r="D206" s="28" t="s">
        <v>26</v>
      </c>
      <c r="E206" s="28" t="s">
        <v>12</v>
      </c>
      <c r="F206" s="28" t="s">
        <v>48</v>
      </c>
      <c r="G206" s="6">
        <v>2</v>
      </c>
      <c r="H206" s="15">
        <v>44000</v>
      </c>
      <c r="I206" s="15">
        <v>49000</v>
      </c>
      <c r="J206" s="15">
        <f>PRODUCT('Cleaned Data'!$G206,'Cleaned Data'!$I206)</f>
        <v>98000</v>
      </c>
      <c r="K206" s="15">
        <f>PRODUCT('Cleaned Data'!$G206,'Cleaned Data'!$H206)</f>
        <v>88000</v>
      </c>
      <c r="L206" s="15">
        <f>('Cleaned Data'!$J206-'Cleaned Data'!$K206)</f>
        <v>10000</v>
      </c>
      <c r="M206" s="23">
        <f>('Cleaned Data'!$L206/'Cleaned Data'!$J206)</f>
        <v>0.10204081632653061</v>
      </c>
      <c r="N206" s="5" t="str">
        <f>IF('Cleaned Data'!$G206&gt;10,"High-Volume","Low-Volume")</f>
        <v>Low-Volume</v>
      </c>
      <c r="O206" s="5" t="str">
        <f>IF('Cleaned Data'!$I206&gt;=100000,"Premium","Standard")</f>
        <v>Standard</v>
      </c>
      <c r="P206" s="56" t="str">
        <f>IF(Zen_Elite_Shoe_Sales[[#This Row],[Revenue]]&gt;=1000000,"Top Performer","Average Performer")</f>
        <v>Average Performer</v>
      </c>
    </row>
    <row r="207" spans="1:16" x14ac:dyDescent="0.35">
      <c r="A207" s="46">
        <v>46228</v>
      </c>
      <c r="B207" s="28" t="s">
        <v>34</v>
      </c>
      <c r="C207" s="28" t="s">
        <v>41</v>
      </c>
      <c r="D207" s="28" t="s">
        <v>31</v>
      </c>
      <c r="E207" s="28" t="s">
        <v>12</v>
      </c>
      <c r="F207" s="28" t="s">
        <v>63</v>
      </c>
      <c r="G207" s="6">
        <v>11</v>
      </c>
      <c r="H207" s="15">
        <v>108000</v>
      </c>
      <c r="I207" s="15">
        <v>109800</v>
      </c>
      <c r="J207" s="15">
        <f>PRODUCT('Cleaned Data'!$G207,'Cleaned Data'!$I207)</f>
        <v>1207800</v>
      </c>
      <c r="K207" s="15">
        <f>PRODUCT('Cleaned Data'!$G207,'Cleaned Data'!$H207)</f>
        <v>1188000</v>
      </c>
      <c r="L207" s="15">
        <f>('Cleaned Data'!$J207-'Cleaned Data'!$K207)</f>
        <v>19800</v>
      </c>
      <c r="M207" s="23">
        <f>('Cleaned Data'!$L207/'Cleaned Data'!$J207)</f>
        <v>1.6393442622950821E-2</v>
      </c>
      <c r="N207" s="5" t="str">
        <f>IF('Cleaned Data'!$G207&gt;10,"High-Volume","Low-Volume")</f>
        <v>High-Volume</v>
      </c>
      <c r="O207" s="5" t="str">
        <f>IF('Cleaned Data'!$I207&gt;=100000,"Premium","Standard")</f>
        <v>Premium</v>
      </c>
      <c r="P207" s="56" t="str">
        <f>IF(Zen_Elite_Shoe_Sales[[#This Row],[Revenue]]&gt;=1000000,"Top Performer","Average Performer")</f>
        <v>Top Performer</v>
      </c>
    </row>
    <row r="208" spans="1:16" x14ac:dyDescent="0.35">
      <c r="A208" s="46">
        <v>46229</v>
      </c>
      <c r="B208" s="28" t="s">
        <v>19</v>
      </c>
      <c r="C208" s="28" t="s">
        <v>50</v>
      </c>
      <c r="D208" s="28" t="s">
        <v>31</v>
      </c>
      <c r="E208" s="28" t="s">
        <v>71</v>
      </c>
      <c r="F208" s="28" t="s">
        <v>28</v>
      </c>
      <c r="G208" s="6">
        <v>4</v>
      </c>
      <c r="H208" s="15">
        <v>49000</v>
      </c>
      <c r="I208" s="15">
        <v>54000</v>
      </c>
      <c r="J208" s="15">
        <f>PRODUCT('Cleaned Data'!$G208,'Cleaned Data'!$I208)</f>
        <v>216000</v>
      </c>
      <c r="K208" s="15">
        <f>PRODUCT('Cleaned Data'!$G208,'Cleaned Data'!$H208)</f>
        <v>196000</v>
      </c>
      <c r="L208" s="15">
        <f>('Cleaned Data'!$J208-'Cleaned Data'!$K208)</f>
        <v>20000</v>
      </c>
      <c r="M208" s="23">
        <f>('Cleaned Data'!$L208/'Cleaned Data'!$J208)</f>
        <v>9.2592592592592587E-2</v>
      </c>
      <c r="N208" s="5" t="str">
        <f>IF('Cleaned Data'!$G208&gt;10,"High-Volume","Low-Volume")</f>
        <v>Low-Volume</v>
      </c>
      <c r="O208" s="5" t="str">
        <f>IF('Cleaned Data'!$I208&gt;=100000,"Premium","Standard")</f>
        <v>Standard</v>
      </c>
      <c r="P208" s="56" t="str">
        <f>IF(Zen_Elite_Shoe_Sales[[#This Row],[Revenue]]&gt;=1000000,"Top Performer","Average Performer")</f>
        <v>Average Performer</v>
      </c>
    </row>
    <row r="209" spans="1:16" x14ac:dyDescent="0.35">
      <c r="A209" s="46">
        <v>46230</v>
      </c>
      <c r="B209" s="28" t="s">
        <v>19</v>
      </c>
      <c r="C209" s="28" t="s">
        <v>50</v>
      </c>
      <c r="D209" s="28" t="s">
        <v>31</v>
      </c>
      <c r="E209" s="28" t="s">
        <v>71</v>
      </c>
      <c r="F209" s="28" t="s">
        <v>13</v>
      </c>
      <c r="G209" s="6">
        <v>2</v>
      </c>
      <c r="H209" s="15">
        <v>42000</v>
      </c>
      <c r="I209" s="15">
        <v>47000</v>
      </c>
      <c r="J209" s="15">
        <f>PRODUCT('Cleaned Data'!$G209,'Cleaned Data'!$I209)</f>
        <v>94000</v>
      </c>
      <c r="K209" s="15">
        <f>PRODUCT('Cleaned Data'!$G209,'Cleaned Data'!$H209)</f>
        <v>84000</v>
      </c>
      <c r="L209" s="15">
        <f>('Cleaned Data'!$J209-'Cleaned Data'!$K209)</f>
        <v>10000</v>
      </c>
      <c r="M209" s="23">
        <f>('Cleaned Data'!$L209/'Cleaned Data'!$J209)</f>
        <v>0.10638297872340426</v>
      </c>
      <c r="N209" s="5" t="str">
        <f>IF('Cleaned Data'!$G209&gt;10,"High-Volume","Low-Volume")</f>
        <v>Low-Volume</v>
      </c>
      <c r="O209" s="5" t="str">
        <f>IF('Cleaned Data'!$I209&gt;=100000,"Premium","Standard")</f>
        <v>Standard</v>
      </c>
      <c r="P209" s="56" t="str">
        <f>IF(Zen_Elite_Shoe_Sales[[#This Row],[Revenue]]&gt;=1000000,"Top Performer","Average Performer")</f>
        <v>Average Performer</v>
      </c>
    </row>
    <row r="210" spans="1:16" x14ac:dyDescent="0.35">
      <c r="A210" s="46">
        <v>46231</v>
      </c>
      <c r="B210" s="28" t="s">
        <v>19</v>
      </c>
      <c r="C210" s="28" t="s">
        <v>50</v>
      </c>
      <c r="D210" s="28" t="s">
        <v>21</v>
      </c>
      <c r="E210" s="28" t="s">
        <v>71</v>
      </c>
      <c r="F210" s="28" t="s">
        <v>43</v>
      </c>
      <c r="G210" s="6">
        <v>7</v>
      </c>
      <c r="H210" s="15">
        <v>54000</v>
      </c>
      <c r="I210" s="15">
        <v>60000</v>
      </c>
      <c r="J210" s="15">
        <f>PRODUCT('Cleaned Data'!$G210,'Cleaned Data'!$I210)</f>
        <v>420000</v>
      </c>
      <c r="K210" s="15">
        <f>PRODUCT('Cleaned Data'!$G210,'Cleaned Data'!$H210)</f>
        <v>378000</v>
      </c>
      <c r="L210" s="15">
        <f>('Cleaned Data'!$J210-'Cleaned Data'!$K210)</f>
        <v>42000</v>
      </c>
      <c r="M210" s="23">
        <f>('Cleaned Data'!$L210/'Cleaned Data'!$J210)</f>
        <v>0.1</v>
      </c>
      <c r="N210" s="5" t="str">
        <f>IF('Cleaned Data'!$G210&gt;10,"High-Volume","Low-Volume")</f>
        <v>Low-Volume</v>
      </c>
      <c r="O210" s="5" t="str">
        <f>IF('Cleaned Data'!$I210&gt;=100000,"Premium","Standard")</f>
        <v>Standard</v>
      </c>
      <c r="P210" s="56" t="str">
        <f>IF(Zen_Elite_Shoe_Sales[[#This Row],[Revenue]]&gt;=1000000,"Top Performer","Average Performer")</f>
        <v>Average Performer</v>
      </c>
    </row>
    <row r="211" spans="1:16" x14ac:dyDescent="0.35">
      <c r="A211" s="46">
        <v>46232</v>
      </c>
      <c r="B211" s="28" t="s">
        <v>67</v>
      </c>
      <c r="C211" s="28" t="s">
        <v>15</v>
      </c>
      <c r="D211" s="28" t="s">
        <v>31</v>
      </c>
      <c r="E211" s="28" t="s">
        <v>47</v>
      </c>
      <c r="F211" s="28" t="s">
        <v>48</v>
      </c>
      <c r="G211" s="6">
        <v>10</v>
      </c>
      <c r="H211" s="15">
        <v>63000</v>
      </c>
      <c r="I211" s="15">
        <v>69500</v>
      </c>
      <c r="J211" s="15">
        <f>PRODUCT('Cleaned Data'!$G211,'Cleaned Data'!$I211)</f>
        <v>695000</v>
      </c>
      <c r="K211" s="15">
        <f>PRODUCT('Cleaned Data'!$G211,'Cleaned Data'!$H211)</f>
        <v>630000</v>
      </c>
      <c r="L211" s="15">
        <f>('Cleaned Data'!$J211-'Cleaned Data'!$K211)</f>
        <v>65000</v>
      </c>
      <c r="M211" s="23">
        <f>('Cleaned Data'!$L211/'Cleaned Data'!$J211)</f>
        <v>9.3525179856115109E-2</v>
      </c>
      <c r="N211" s="5" t="str">
        <f>IF('Cleaned Data'!$G211&gt;10,"High-Volume","Low-Volume")</f>
        <v>Low-Volume</v>
      </c>
      <c r="O211" s="5" t="str">
        <f>IF('Cleaned Data'!$I211&gt;=100000,"Premium","Standard")</f>
        <v>Standard</v>
      </c>
      <c r="P211" s="56" t="str">
        <f>IF(Zen_Elite_Shoe_Sales[[#This Row],[Revenue]]&gt;=1000000,"Top Performer","Average Performer")</f>
        <v>Average Performer</v>
      </c>
    </row>
    <row r="212" spans="1:16" x14ac:dyDescent="0.35">
      <c r="A212" s="46">
        <v>46233</v>
      </c>
      <c r="B212" s="28" t="s">
        <v>67</v>
      </c>
      <c r="C212" s="28" t="s">
        <v>15</v>
      </c>
      <c r="D212" s="28" t="s">
        <v>11</v>
      </c>
      <c r="E212" s="28" t="s">
        <v>27</v>
      </c>
      <c r="F212" s="28" t="s">
        <v>33</v>
      </c>
      <c r="G212" s="6">
        <v>6</v>
      </c>
      <c r="H212" s="15">
        <v>50000</v>
      </c>
      <c r="I212" s="15">
        <v>55000</v>
      </c>
      <c r="J212" s="15">
        <f>PRODUCT('Cleaned Data'!$G212,'Cleaned Data'!$I212)</f>
        <v>330000</v>
      </c>
      <c r="K212" s="15">
        <f>PRODUCT('Cleaned Data'!$G212,'Cleaned Data'!$H212)</f>
        <v>300000</v>
      </c>
      <c r="L212" s="15">
        <f>('Cleaned Data'!$J212-'Cleaned Data'!$K212)</f>
        <v>30000</v>
      </c>
      <c r="M212" s="23">
        <f>('Cleaned Data'!$L212/'Cleaned Data'!$J212)</f>
        <v>9.0909090909090912E-2</v>
      </c>
      <c r="N212" s="5" t="str">
        <f>IF('Cleaned Data'!$G212&gt;10,"High-Volume","Low-Volume")</f>
        <v>Low-Volume</v>
      </c>
      <c r="O212" s="5" t="str">
        <f>IF('Cleaned Data'!$I212&gt;=100000,"Premium","Standard")</f>
        <v>Standard</v>
      </c>
      <c r="P212" s="56" t="str">
        <f>IF(Zen_Elite_Shoe_Sales[[#This Row],[Revenue]]&gt;=1000000,"Top Performer","Average Performer")</f>
        <v>Average Performer</v>
      </c>
    </row>
    <row r="213" spans="1:16" x14ac:dyDescent="0.35">
      <c r="A213" s="46">
        <v>46234</v>
      </c>
      <c r="B213" s="28" t="s">
        <v>73</v>
      </c>
      <c r="C213" s="28" t="s">
        <v>30</v>
      </c>
      <c r="D213" s="28" t="s">
        <v>16</v>
      </c>
      <c r="E213" s="28" t="s">
        <v>12</v>
      </c>
      <c r="F213" s="28" t="s">
        <v>13</v>
      </c>
      <c r="G213" s="6">
        <v>6</v>
      </c>
      <c r="H213" s="15">
        <v>67000</v>
      </c>
      <c r="I213" s="15">
        <v>73500</v>
      </c>
      <c r="J213" s="15">
        <f>PRODUCT('Cleaned Data'!$G213,'Cleaned Data'!$I213)</f>
        <v>441000</v>
      </c>
      <c r="K213" s="15">
        <f>PRODUCT('Cleaned Data'!$G213,'Cleaned Data'!$H213)</f>
        <v>402000</v>
      </c>
      <c r="L213" s="15">
        <f>('Cleaned Data'!$J213-'Cleaned Data'!$K213)</f>
        <v>39000</v>
      </c>
      <c r="M213" s="23">
        <f>('Cleaned Data'!$L213/'Cleaned Data'!$J213)</f>
        <v>8.8435374149659865E-2</v>
      </c>
      <c r="N213" s="5" t="str">
        <f>IF('Cleaned Data'!$G213&gt;10,"High-Volume","Low-Volume")</f>
        <v>Low-Volume</v>
      </c>
      <c r="O213" s="5" t="str">
        <f>IF('Cleaned Data'!$I213&gt;=100000,"Premium","Standard")</f>
        <v>Standard</v>
      </c>
      <c r="P213" s="56" t="str">
        <f>IF(Zen_Elite_Shoe_Sales[[#This Row],[Revenue]]&gt;=1000000,"Top Performer","Average Performer")</f>
        <v>Average Performer</v>
      </c>
    </row>
    <row r="214" spans="1:16" x14ac:dyDescent="0.35">
      <c r="A214" s="46">
        <v>46235</v>
      </c>
      <c r="B214" s="28" t="s">
        <v>67</v>
      </c>
      <c r="C214" s="28" t="s">
        <v>15</v>
      </c>
      <c r="D214" s="28" t="s">
        <v>31</v>
      </c>
      <c r="E214" s="28" t="s">
        <v>12</v>
      </c>
      <c r="F214" s="28" t="s">
        <v>60</v>
      </c>
      <c r="G214" s="6">
        <v>6</v>
      </c>
      <c r="H214" s="15">
        <v>61000</v>
      </c>
      <c r="I214" s="15">
        <v>67500</v>
      </c>
      <c r="J214" s="15">
        <f>PRODUCT('Cleaned Data'!$G214,'Cleaned Data'!$I214)</f>
        <v>405000</v>
      </c>
      <c r="K214" s="15">
        <f>PRODUCT('Cleaned Data'!$G214,'Cleaned Data'!$H214)</f>
        <v>366000</v>
      </c>
      <c r="L214" s="15">
        <f>('Cleaned Data'!$J214-'Cleaned Data'!$K214)</f>
        <v>39000</v>
      </c>
      <c r="M214" s="23">
        <f>('Cleaned Data'!$L214/'Cleaned Data'!$J214)</f>
        <v>9.6296296296296297E-2</v>
      </c>
      <c r="N214" s="5" t="str">
        <f>IF('Cleaned Data'!$G214&gt;10,"High-Volume","Low-Volume")</f>
        <v>Low-Volume</v>
      </c>
      <c r="O214" s="5" t="str">
        <f>IF('Cleaned Data'!$I214&gt;=100000,"Premium","Standard")</f>
        <v>Standard</v>
      </c>
      <c r="P214" s="56" t="str">
        <f>IF(Zen_Elite_Shoe_Sales[[#This Row],[Revenue]]&gt;=1000000,"Top Performer","Average Performer")</f>
        <v>Average Performer</v>
      </c>
    </row>
    <row r="215" spans="1:16" x14ac:dyDescent="0.35">
      <c r="A215" s="46">
        <v>46236</v>
      </c>
      <c r="B215" s="28" t="s">
        <v>64</v>
      </c>
      <c r="C215" s="28" t="s">
        <v>41</v>
      </c>
      <c r="D215" s="28" t="s">
        <v>31</v>
      </c>
      <c r="E215" s="28" t="s">
        <v>47</v>
      </c>
      <c r="F215" s="28" t="s">
        <v>52</v>
      </c>
      <c r="G215" s="6">
        <v>9</v>
      </c>
      <c r="H215" s="15">
        <v>104000</v>
      </c>
      <c r="I215" s="15">
        <v>105800</v>
      </c>
      <c r="J215" s="15">
        <f>PRODUCT('Cleaned Data'!$G215,'Cleaned Data'!$I215)</f>
        <v>952200</v>
      </c>
      <c r="K215" s="15">
        <f>PRODUCT('Cleaned Data'!$G215,'Cleaned Data'!$H215)</f>
        <v>936000</v>
      </c>
      <c r="L215" s="15">
        <f>('Cleaned Data'!$J215-'Cleaned Data'!$K215)</f>
        <v>16200</v>
      </c>
      <c r="M215" s="23">
        <f>('Cleaned Data'!$L215/'Cleaned Data'!$J215)</f>
        <v>1.7013232514177693E-2</v>
      </c>
      <c r="N215" s="5" t="str">
        <f>IF('Cleaned Data'!$G215&gt;10,"High-Volume","Low-Volume")</f>
        <v>Low-Volume</v>
      </c>
      <c r="O215" s="5" t="str">
        <f>IF('Cleaned Data'!$I215&gt;=100000,"Premium","Standard")</f>
        <v>Premium</v>
      </c>
      <c r="P215" s="56" t="str">
        <f>IF(Zen_Elite_Shoe_Sales[[#This Row],[Revenue]]&gt;=1000000,"Top Performer","Average Performer")</f>
        <v>Average Performer</v>
      </c>
    </row>
    <row r="216" spans="1:16" x14ac:dyDescent="0.35">
      <c r="A216" s="46">
        <v>46237</v>
      </c>
      <c r="B216" s="28" t="s">
        <v>19</v>
      </c>
      <c r="C216" s="28" t="s">
        <v>50</v>
      </c>
      <c r="D216" s="28" t="s">
        <v>31</v>
      </c>
      <c r="E216" s="28" t="s">
        <v>12</v>
      </c>
      <c r="F216" s="28" t="s">
        <v>23</v>
      </c>
      <c r="G216" s="6">
        <v>4</v>
      </c>
      <c r="H216" s="15">
        <v>46000</v>
      </c>
      <c r="I216" s="15">
        <v>51000</v>
      </c>
      <c r="J216" s="15">
        <f>PRODUCT('Cleaned Data'!$G216,'Cleaned Data'!$I216)</f>
        <v>204000</v>
      </c>
      <c r="K216" s="15">
        <f>PRODUCT('Cleaned Data'!$G216,'Cleaned Data'!$H216)</f>
        <v>184000</v>
      </c>
      <c r="L216" s="15">
        <f>('Cleaned Data'!$J216-'Cleaned Data'!$K216)</f>
        <v>20000</v>
      </c>
      <c r="M216" s="23">
        <f>('Cleaned Data'!$L216/'Cleaned Data'!$J216)</f>
        <v>9.8039215686274508E-2</v>
      </c>
      <c r="N216" s="5" t="str">
        <f>IF('Cleaned Data'!$G216&gt;10,"High-Volume","Low-Volume")</f>
        <v>Low-Volume</v>
      </c>
      <c r="O216" s="5" t="str">
        <f>IF('Cleaned Data'!$I216&gt;=100000,"Premium","Standard")</f>
        <v>Standard</v>
      </c>
      <c r="P216" s="56" t="str">
        <f>IF(Zen_Elite_Shoe_Sales[[#This Row],[Revenue]]&gt;=1000000,"Top Performer","Average Performer")</f>
        <v>Average Performer</v>
      </c>
    </row>
    <row r="217" spans="1:16" x14ac:dyDescent="0.35">
      <c r="A217" s="47">
        <v>46238</v>
      </c>
      <c r="B217" s="29" t="s">
        <v>34</v>
      </c>
      <c r="C217" s="29" t="s">
        <v>41</v>
      </c>
      <c r="D217" s="29" t="s">
        <v>31</v>
      </c>
      <c r="E217" s="29" t="s">
        <v>71</v>
      </c>
      <c r="F217" s="29" t="s">
        <v>37</v>
      </c>
      <c r="G217" s="10">
        <v>11</v>
      </c>
      <c r="H217" s="16">
        <v>102000</v>
      </c>
      <c r="I217" s="16">
        <v>103800</v>
      </c>
      <c r="J217" s="16">
        <f>PRODUCT('Cleaned Data'!$G217,'Cleaned Data'!$I217)</f>
        <v>1141800</v>
      </c>
      <c r="K217" s="16">
        <f>PRODUCT('Cleaned Data'!$G217,'Cleaned Data'!$H217)</f>
        <v>1122000</v>
      </c>
      <c r="L217" s="16">
        <f>('Cleaned Data'!$J217-'Cleaned Data'!$K217)</f>
        <v>19800</v>
      </c>
      <c r="M217" s="24">
        <f>('Cleaned Data'!$L217/'Cleaned Data'!$J217)</f>
        <v>1.7341040462427744E-2</v>
      </c>
      <c r="N217" s="9" t="str">
        <f>IF('Cleaned Data'!$G217&gt;10,"High-Volume","Low-Volume")</f>
        <v>High-Volume</v>
      </c>
      <c r="O217" s="9" t="str">
        <f>IF('Cleaned Data'!$I217&gt;=100000,"Premium","Standard")</f>
        <v>Premium</v>
      </c>
      <c r="P217" s="56" t="str">
        <f>IF(Zen_Elite_Shoe_Sales[[#This Row],[Revenue]]&gt;=1000000,"Top Performer","Average Performer")</f>
        <v>Top Performer</v>
      </c>
    </row>
    <row r="218" spans="1:16" x14ac:dyDescent="0.35">
      <c r="A218" s="46">
        <v>46239</v>
      </c>
      <c r="B218" s="28" t="s">
        <v>73</v>
      </c>
      <c r="C218" s="28" t="s">
        <v>30</v>
      </c>
      <c r="D218" s="28" t="s">
        <v>31</v>
      </c>
      <c r="E218" s="28" t="s">
        <v>27</v>
      </c>
      <c r="F218" s="28" t="s">
        <v>56</v>
      </c>
      <c r="G218" s="6">
        <v>1</v>
      </c>
      <c r="H218" s="15">
        <v>73000</v>
      </c>
      <c r="I218" s="15">
        <v>76000</v>
      </c>
      <c r="J218" s="15">
        <f>PRODUCT('Cleaned Data'!$G218,'Cleaned Data'!$I218)</f>
        <v>76000</v>
      </c>
      <c r="K218" s="15">
        <f>PRODUCT('Cleaned Data'!$G218,'Cleaned Data'!$H218)</f>
        <v>73000</v>
      </c>
      <c r="L218" s="15">
        <f>('Cleaned Data'!$J218-'Cleaned Data'!$K218)</f>
        <v>3000</v>
      </c>
      <c r="M218" s="23">
        <f>('Cleaned Data'!$L218/'Cleaned Data'!$J218)</f>
        <v>3.9473684210526314E-2</v>
      </c>
      <c r="N218" s="5" t="str">
        <f>IF('Cleaned Data'!$G218&gt;10,"High-Volume","Low-Volume")</f>
        <v>Low-Volume</v>
      </c>
      <c r="O218" s="5" t="str">
        <f>IF('Cleaned Data'!$I218&gt;=100000,"Premium","Standard")</f>
        <v>Standard</v>
      </c>
      <c r="P218" s="56" t="str">
        <f>IF(Zen_Elite_Shoe_Sales[[#This Row],[Revenue]]&gt;=1000000,"Top Performer","Average Performer")</f>
        <v>Average Performer</v>
      </c>
    </row>
    <row r="219" spans="1:16" x14ac:dyDescent="0.35">
      <c r="A219" s="47">
        <v>46240</v>
      </c>
      <c r="B219" s="29" t="s">
        <v>64</v>
      </c>
      <c r="C219" s="29" t="s">
        <v>41</v>
      </c>
      <c r="D219" s="29" t="s">
        <v>16</v>
      </c>
      <c r="E219" s="29" t="s">
        <v>27</v>
      </c>
      <c r="F219" s="29" t="s">
        <v>37</v>
      </c>
      <c r="G219" s="10">
        <v>10</v>
      </c>
      <c r="H219" s="16">
        <v>94000</v>
      </c>
      <c r="I219" s="16">
        <v>95800</v>
      </c>
      <c r="J219" s="16">
        <f>PRODUCT('Cleaned Data'!$G219,'Cleaned Data'!$I219)</f>
        <v>958000</v>
      </c>
      <c r="K219" s="16">
        <f>PRODUCT('Cleaned Data'!$G219,'Cleaned Data'!$H219)</f>
        <v>940000</v>
      </c>
      <c r="L219" s="16">
        <f>('Cleaned Data'!$J219-'Cleaned Data'!$K219)</f>
        <v>18000</v>
      </c>
      <c r="M219" s="24">
        <f>('Cleaned Data'!$L219/'Cleaned Data'!$J219)</f>
        <v>1.8789144050104383E-2</v>
      </c>
      <c r="N219" s="9" t="str">
        <f>IF('Cleaned Data'!$G219&gt;10,"High-Volume","Low-Volume")</f>
        <v>Low-Volume</v>
      </c>
      <c r="O219" s="9" t="str">
        <f>IF('Cleaned Data'!$I219&gt;=100000,"Premium","Standard")</f>
        <v>Standard</v>
      </c>
      <c r="P219" s="56" t="str">
        <f>IF(Zen_Elite_Shoe_Sales[[#This Row],[Revenue]]&gt;=1000000,"Top Performer","Average Performer")</f>
        <v>Average Performer</v>
      </c>
    </row>
    <row r="220" spans="1:16" x14ac:dyDescent="0.35">
      <c r="A220" s="46">
        <v>46241</v>
      </c>
      <c r="B220" s="28" t="s">
        <v>44</v>
      </c>
      <c r="C220" s="28" t="s">
        <v>41</v>
      </c>
      <c r="D220" s="28" t="s">
        <v>31</v>
      </c>
      <c r="E220" s="28" t="s">
        <v>59</v>
      </c>
      <c r="F220" s="28" t="s">
        <v>23</v>
      </c>
      <c r="G220" s="6">
        <v>6</v>
      </c>
      <c r="H220" s="15">
        <v>123000</v>
      </c>
      <c r="I220" s="15">
        <v>124800</v>
      </c>
      <c r="J220" s="15">
        <f>PRODUCT('Cleaned Data'!$G220,'Cleaned Data'!$I220)</f>
        <v>748800</v>
      </c>
      <c r="K220" s="15">
        <f>PRODUCT('Cleaned Data'!$G220,'Cleaned Data'!$H220)</f>
        <v>738000</v>
      </c>
      <c r="L220" s="15">
        <f>('Cleaned Data'!$J220-'Cleaned Data'!$K220)</f>
        <v>10800</v>
      </c>
      <c r="M220" s="23">
        <f>('Cleaned Data'!$L220/'Cleaned Data'!$J220)</f>
        <v>1.4423076923076924E-2</v>
      </c>
      <c r="N220" s="5" t="str">
        <f>IF('Cleaned Data'!$G220&gt;10,"High-Volume","Low-Volume")</f>
        <v>Low-Volume</v>
      </c>
      <c r="O220" s="5" t="str">
        <f>IF('Cleaned Data'!$I220&gt;=100000,"Premium","Standard")</f>
        <v>Premium</v>
      </c>
      <c r="P220" s="56" t="str">
        <f>IF(Zen_Elite_Shoe_Sales[[#This Row],[Revenue]]&gt;=1000000,"Top Performer","Average Performer")</f>
        <v>Average Performer</v>
      </c>
    </row>
    <row r="221" spans="1:16" x14ac:dyDescent="0.35">
      <c r="A221" s="47">
        <v>46242</v>
      </c>
      <c r="B221" s="29" t="s">
        <v>67</v>
      </c>
      <c r="C221" s="29" t="s">
        <v>15</v>
      </c>
      <c r="D221" s="29" t="s">
        <v>26</v>
      </c>
      <c r="E221" s="29" t="s">
        <v>71</v>
      </c>
      <c r="F221" s="29" t="s">
        <v>28</v>
      </c>
      <c r="G221" s="10">
        <v>10</v>
      </c>
      <c r="H221" s="16">
        <v>60000</v>
      </c>
      <c r="I221" s="16">
        <v>66000</v>
      </c>
      <c r="J221" s="16">
        <f>PRODUCT('Cleaned Data'!$G221,'Cleaned Data'!$I221)</f>
        <v>660000</v>
      </c>
      <c r="K221" s="16">
        <f>PRODUCT('Cleaned Data'!$G221,'Cleaned Data'!$H221)</f>
        <v>600000</v>
      </c>
      <c r="L221" s="16">
        <f>('Cleaned Data'!$J221-'Cleaned Data'!$K221)</f>
        <v>60000</v>
      </c>
      <c r="M221" s="24">
        <f>('Cleaned Data'!$L221/'Cleaned Data'!$J221)</f>
        <v>9.0909090909090912E-2</v>
      </c>
      <c r="N221" s="9" t="str">
        <f>IF('Cleaned Data'!$G221&gt;10,"High-Volume","Low-Volume")</f>
        <v>Low-Volume</v>
      </c>
      <c r="O221" s="9" t="str">
        <f>IF('Cleaned Data'!$I221&gt;=100000,"Premium","Standard")</f>
        <v>Standard</v>
      </c>
      <c r="P221" s="56" t="str">
        <f>IF(Zen_Elite_Shoe_Sales[[#This Row],[Revenue]]&gt;=1000000,"Top Performer","Average Performer")</f>
        <v>Average Performer</v>
      </c>
    </row>
    <row r="222" spans="1:16" x14ac:dyDescent="0.35">
      <c r="A222" s="46">
        <v>46243</v>
      </c>
      <c r="B222" s="28" t="s">
        <v>78</v>
      </c>
      <c r="C222" s="28" t="s">
        <v>41</v>
      </c>
      <c r="D222" s="28" t="s">
        <v>21</v>
      </c>
      <c r="E222" s="28" t="s">
        <v>12</v>
      </c>
      <c r="F222" s="28" t="s">
        <v>60</v>
      </c>
      <c r="G222" s="6">
        <v>10</v>
      </c>
      <c r="H222" s="15">
        <v>117000</v>
      </c>
      <c r="I222" s="15">
        <v>118800</v>
      </c>
      <c r="J222" s="15">
        <f>PRODUCT('Cleaned Data'!$G222,'Cleaned Data'!$I222)</f>
        <v>1188000</v>
      </c>
      <c r="K222" s="15">
        <f>PRODUCT('Cleaned Data'!$G222,'Cleaned Data'!$H222)</f>
        <v>1170000</v>
      </c>
      <c r="L222" s="15">
        <f>('Cleaned Data'!$J222-'Cleaned Data'!$K222)</f>
        <v>18000</v>
      </c>
      <c r="M222" s="23">
        <f>('Cleaned Data'!$L222/'Cleaned Data'!$J222)</f>
        <v>1.5151515151515152E-2</v>
      </c>
      <c r="N222" s="5" t="str">
        <f>IF('Cleaned Data'!$G222&gt;10,"High-Volume","Low-Volume")</f>
        <v>Low-Volume</v>
      </c>
      <c r="O222" s="5" t="str">
        <f>IF('Cleaned Data'!$I222&gt;=100000,"Premium","Standard")</f>
        <v>Premium</v>
      </c>
      <c r="P222" s="56" t="str">
        <f>IF(Zen_Elite_Shoe_Sales[[#This Row],[Revenue]]&gt;=1000000,"Top Performer","Average Performer")</f>
        <v>Top Performer</v>
      </c>
    </row>
    <row r="223" spans="1:16" x14ac:dyDescent="0.35">
      <c r="A223" s="46">
        <v>46244</v>
      </c>
      <c r="B223" s="28" t="s">
        <v>73</v>
      </c>
      <c r="C223" s="28" t="s">
        <v>30</v>
      </c>
      <c r="D223" s="28" t="s">
        <v>26</v>
      </c>
      <c r="E223" s="28" t="s">
        <v>12</v>
      </c>
      <c r="F223" s="28" t="s">
        <v>23</v>
      </c>
      <c r="G223" s="6">
        <v>11</v>
      </c>
      <c r="H223" s="15">
        <v>76000</v>
      </c>
      <c r="I223" s="15">
        <v>79000</v>
      </c>
      <c r="J223" s="15">
        <f>PRODUCT('Cleaned Data'!$G223,'Cleaned Data'!$I223)</f>
        <v>869000</v>
      </c>
      <c r="K223" s="15">
        <f>PRODUCT('Cleaned Data'!$G223,'Cleaned Data'!$H223)</f>
        <v>836000</v>
      </c>
      <c r="L223" s="15">
        <f>('Cleaned Data'!$J223-'Cleaned Data'!$K223)</f>
        <v>33000</v>
      </c>
      <c r="M223" s="23">
        <f>('Cleaned Data'!$L223/'Cleaned Data'!$J223)</f>
        <v>3.7974683544303799E-2</v>
      </c>
      <c r="N223" s="5" t="str">
        <f>IF('Cleaned Data'!$G223&gt;10,"High-Volume","Low-Volume")</f>
        <v>High-Volume</v>
      </c>
      <c r="O223" s="5" t="str">
        <f>IF('Cleaned Data'!$I223&gt;=100000,"Premium","Standard")</f>
        <v>Standard</v>
      </c>
      <c r="P223" s="56" t="str">
        <f>IF(Zen_Elite_Shoe_Sales[[#This Row],[Revenue]]&gt;=1000000,"Top Performer","Average Performer")</f>
        <v>Average Performer</v>
      </c>
    </row>
    <row r="224" spans="1:16" x14ac:dyDescent="0.35">
      <c r="A224" s="46">
        <v>46245</v>
      </c>
      <c r="B224" s="28" t="s">
        <v>53</v>
      </c>
      <c r="C224" s="28" t="s">
        <v>15</v>
      </c>
      <c r="D224" s="28" t="s">
        <v>11</v>
      </c>
      <c r="E224" s="28" t="s">
        <v>47</v>
      </c>
      <c r="F224" s="28" t="s">
        <v>48</v>
      </c>
      <c r="G224" s="6">
        <v>1</v>
      </c>
      <c r="H224" s="15">
        <v>72000</v>
      </c>
      <c r="I224" s="15">
        <v>75000</v>
      </c>
      <c r="J224" s="15">
        <f>PRODUCT('Cleaned Data'!$G224,'Cleaned Data'!$I224)</f>
        <v>75000</v>
      </c>
      <c r="K224" s="15">
        <f>PRODUCT('Cleaned Data'!$G224,'Cleaned Data'!$H224)</f>
        <v>72000</v>
      </c>
      <c r="L224" s="15">
        <f>('Cleaned Data'!$J224-'Cleaned Data'!$K224)</f>
        <v>3000</v>
      </c>
      <c r="M224" s="23">
        <f>('Cleaned Data'!$L224/'Cleaned Data'!$J224)</f>
        <v>0.04</v>
      </c>
      <c r="N224" s="5" t="str">
        <f>IF('Cleaned Data'!$G224&gt;10,"High-Volume","Low-Volume")</f>
        <v>Low-Volume</v>
      </c>
      <c r="O224" s="5" t="str">
        <f>IF('Cleaned Data'!$I224&gt;=100000,"Premium","Standard")</f>
        <v>Standard</v>
      </c>
      <c r="P224" s="56" t="str">
        <f>IF(Zen_Elite_Shoe_Sales[[#This Row],[Revenue]]&gt;=1000000,"Top Performer","Average Performer")</f>
        <v>Average Performer</v>
      </c>
    </row>
    <row r="225" spans="1:16" x14ac:dyDescent="0.35">
      <c r="A225" s="46">
        <v>46246</v>
      </c>
      <c r="B225" s="28" t="s">
        <v>44</v>
      </c>
      <c r="C225" s="28" t="s">
        <v>41</v>
      </c>
      <c r="D225" s="28" t="s">
        <v>21</v>
      </c>
      <c r="E225" s="28" t="s">
        <v>71</v>
      </c>
      <c r="F225" s="28" t="s">
        <v>45</v>
      </c>
      <c r="G225" s="6">
        <v>6</v>
      </c>
      <c r="H225" s="15">
        <v>140000</v>
      </c>
      <c r="I225" s="15">
        <v>141800</v>
      </c>
      <c r="J225" s="15">
        <f>PRODUCT('Cleaned Data'!$G225,'Cleaned Data'!$I225)</f>
        <v>850800</v>
      </c>
      <c r="K225" s="15">
        <f>PRODUCT('Cleaned Data'!$G225,'Cleaned Data'!$H225)</f>
        <v>840000</v>
      </c>
      <c r="L225" s="15">
        <f>('Cleaned Data'!$J225-'Cleaned Data'!$K225)</f>
        <v>10800</v>
      </c>
      <c r="M225" s="23">
        <f>('Cleaned Data'!$L225/'Cleaned Data'!$J225)</f>
        <v>1.2693935119887164E-2</v>
      </c>
      <c r="N225" s="5" t="str">
        <f>IF('Cleaned Data'!$G225&gt;10,"High-Volume","Low-Volume")</f>
        <v>Low-Volume</v>
      </c>
      <c r="O225" s="5" t="str">
        <f>IF('Cleaned Data'!$I225&gt;=100000,"Premium","Standard")</f>
        <v>Premium</v>
      </c>
      <c r="P225" s="56" t="str">
        <f>IF(Zen_Elite_Shoe_Sales[[#This Row],[Revenue]]&gt;=1000000,"Top Performer","Average Performer")</f>
        <v>Average Performer</v>
      </c>
    </row>
    <row r="226" spans="1:16" x14ac:dyDescent="0.35">
      <c r="A226" s="46">
        <v>46247</v>
      </c>
      <c r="B226" s="28" t="s">
        <v>53</v>
      </c>
      <c r="C226" s="28" t="s">
        <v>15</v>
      </c>
      <c r="D226" s="28" t="s">
        <v>21</v>
      </c>
      <c r="E226" s="28" t="s">
        <v>71</v>
      </c>
      <c r="F226" s="28" t="s">
        <v>56</v>
      </c>
      <c r="G226" s="6">
        <v>13</v>
      </c>
      <c r="H226" s="15">
        <v>60000</v>
      </c>
      <c r="I226" s="15">
        <v>66000</v>
      </c>
      <c r="J226" s="15">
        <f>PRODUCT('Cleaned Data'!$G226,'Cleaned Data'!$I226)</f>
        <v>858000</v>
      </c>
      <c r="K226" s="15">
        <f>PRODUCT('Cleaned Data'!$G226,'Cleaned Data'!$H226)</f>
        <v>780000</v>
      </c>
      <c r="L226" s="15">
        <f>('Cleaned Data'!$J226-'Cleaned Data'!$K226)</f>
        <v>78000</v>
      </c>
      <c r="M226" s="23">
        <f>('Cleaned Data'!$L226/'Cleaned Data'!$J226)</f>
        <v>9.0909090909090912E-2</v>
      </c>
      <c r="N226" s="5" t="str">
        <f>IF('Cleaned Data'!$G226&gt;10,"High-Volume","Low-Volume")</f>
        <v>High-Volume</v>
      </c>
      <c r="O226" s="5" t="str">
        <f>IF('Cleaned Data'!$I226&gt;=100000,"Premium","Standard")</f>
        <v>Standard</v>
      </c>
      <c r="P226" s="56" t="str">
        <f>IF(Zen_Elite_Shoe_Sales[[#This Row],[Revenue]]&gt;=1000000,"Top Performer","Average Performer")</f>
        <v>Average Performer</v>
      </c>
    </row>
    <row r="227" spans="1:16" x14ac:dyDescent="0.35">
      <c r="A227" s="46">
        <v>46248</v>
      </c>
      <c r="B227" s="28" t="s">
        <v>34</v>
      </c>
      <c r="C227" s="28" t="s">
        <v>41</v>
      </c>
      <c r="D227" s="28" t="s">
        <v>26</v>
      </c>
      <c r="E227" s="28" t="s">
        <v>27</v>
      </c>
      <c r="F227" s="28" t="s">
        <v>28</v>
      </c>
      <c r="G227" s="6">
        <v>9</v>
      </c>
      <c r="H227" s="15">
        <v>113000</v>
      </c>
      <c r="I227" s="15">
        <v>114800</v>
      </c>
      <c r="J227" s="15">
        <f>PRODUCT('Cleaned Data'!$G227,'Cleaned Data'!$I227)</f>
        <v>1033200</v>
      </c>
      <c r="K227" s="15">
        <f>PRODUCT('Cleaned Data'!$G227,'Cleaned Data'!$H227)</f>
        <v>1017000</v>
      </c>
      <c r="L227" s="15">
        <f>('Cleaned Data'!$J227-'Cleaned Data'!$K227)</f>
        <v>16200</v>
      </c>
      <c r="M227" s="23">
        <f>('Cleaned Data'!$L227/'Cleaned Data'!$J227)</f>
        <v>1.5679442508710801E-2</v>
      </c>
      <c r="N227" s="5" t="str">
        <f>IF('Cleaned Data'!$G227&gt;10,"High-Volume","Low-Volume")</f>
        <v>Low-Volume</v>
      </c>
      <c r="O227" s="5" t="str">
        <f>IF('Cleaned Data'!$I227&gt;=100000,"Premium","Standard")</f>
        <v>Premium</v>
      </c>
      <c r="P227" s="56" t="str">
        <f>IF(Zen_Elite_Shoe_Sales[[#This Row],[Revenue]]&gt;=1000000,"Top Performer","Average Performer")</f>
        <v>Top Performer</v>
      </c>
    </row>
    <row r="228" spans="1:16" x14ac:dyDescent="0.35">
      <c r="A228" s="46">
        <v>46249</v>
      </c>
      <c r="B228" s="28" t="s">
        <v>34</v>
      </c>
      <c r="C228" s="28" t="s">
        <v>41</v>
      </c>
      <c r="D228" s="28" t="s">
        <v>21</v>
      </c>
      <c r="E228" s="28" t="s">
        <v>71</v>
      </c>
      <c r="F228" s="28" t="s">
        <v>63</v>
      </c>
      <c r="G228" s="6">
        <v>2</v>
      </c>
      <c r="H228" s="15">
        <v>95000</v>
      </c>
      <c r="I228" s="15">
        <v>96800</v>
      </c>
      <c r="J228" s="15">
        <f>PRODUCT('Cleaned Data'!$G228,'Cleaned Data'!$I228)</f>
        <v>193600</v>
      </c>
      <c r="K228" s="15">
        <f>PRODUCT('Cleaned Data'!$G228,'Cleaned Data'!$H228)</f>
        <v>190000</v>
      </c>
      <c r="L228" s="15">
        <f>('Cleaned Data'!$J228-'Cleaned Data'!$K228)</f>
        <v>3600</v>
      </c>
      <c r="M228" s="23">
        <f>('Cleaned Data'!$L228/'Cleaned Data'!$J228)</f>
        <v>1.859504132231405E-2</v>
      </c>
      <c r="N228" s="5" t="str">
        <f>IF('Cleaned Data'!$G228&gt;10,"High-Volume","Low-Volume")</f>
        <v>Low-Volume</v>
      </c>
      <c r="O228" s="5" t="str">
        <f>IF('Cleaned Data'!$I228&gt;=100000,"Premium","Standard")</f>
        <v>Standard</v>
      </c>
      <c r="P228" s="56" t="str">
        <f>IF(Zen_Elite_Shoe_Sales[[#This Row],[Revenue]]&gt;=1000000,"Top Performer","Average Performer")</f>
        <v>Average Performer</v>
      </c>
    </row>
    <row r="229" spans="1:16" x14ac:dyDescent="0.35">
      <c r="A229" s="46">
        <v>46250</v>
      </c>
      <c r="B229" s="28" t="s">
        <v>19</v>
      </c>
      <c r="C229" s="28" t="s">
        <v>50</v>
      </c>
      <c r="D229" s="28" t="s">
        <v>26</v>
      </c>
      <c r="E229" s="28" t="s">
        <v>12</v>
      </c>
      <c r="F229" s="28" t="s">
        <v>28</v>
      </c>
      <c r="G229" s="6">
        <v>4</v>
      </c>
      <c r="H229" s="15">
        <v>54000</v>
      </c>
      <c r="I229" s="15">
        <v>60000</v>
      </c>
      <c r="J229" s="15">
        <f>PRODUCT('Cleaned Data'!$G229,'Cleaned Data'!$I229)</f>
        <v>240000</v>
      </c>
      <c r="K229" s="15">
        <f>PRODUCT('Cleaned Data'!$G229,'Cleaned Data'!$H229)</f>
        <v>216000</v>
      </c>
      <c r="L229" s="15">
        <f>('Cleaned Data'!$J229-'Cleaned Data'!$K229)</f>
        <v>24000</v>
      </c>
      <c r="M229" s="23">
        <f>('Cleaned Data'!$L229/'Cleaned Data'!$J229)</f>
        <v>0.1</v>
      </c>
      <c r="N229" s="5" t="str">
        <f>IF('Cleaned Data'!$G229&gt;10,"High-Volume","Low-Volume")</f>
        <v>Low-Volume</v>
      </c>
      <c r="O229" s="5" t="str">
        <f>IF('Cleaned Data'!$I229&gt;=100000,"Premium","Standard")</f>
        <v>Standard</v>
      </c>
      <c r="P229" s="56" t="str">
        <f>IF(Zen_Elite_Shoe_Sales[[#This Row],[Revenue]]&gt;=1000000,"Top Performer","Average Performer")</f>
        <v>Average Performer</v>
      </c>
    </row>
    <row r="230" spans="1:16" x14ac:dyDescent="0.35">
      <c r="A230" s="46">
        <v>46251</v>
      </c>
      <c r="B230" s="28" t="s">
        <v>73</v>
      </c>
      <c r="C230" s="28" t="s">
        <v>30</v>
      </c>
      <c r="D230" s="28" t="s">
        <v>21</v>
      </c>
      <c r="E230" s="28" t="s">
        <v>12</v>
      </c>
      <c r="F230" s="28" t="s">
        <v>56</v>
      </c>
      <c r="G230" s="6">
        <v>13</v>
      </c>
      <c r="H230" s="15">
        <v>62000</v>
      </c>
      <c r="I230" s="15">
        <v>68500</v>
      </c>
      <c r="J230" s="15">
        <f>PRODUCT('Cleaned Data'!$G230,'Cleaned Data'!$I230)</f>
        <v>890500</v>
      </c>
      <c r="K230" s="15">
        <f>PRODUCT('Cleaned Data'!$G230,'Cleaned Data'!$H230)</f>
        <v>806000</v>
      </c>
      <c r="L230" s="15">
        <f>('Cleaned Data'!$J230-'Cleaned Data'!$K230)</f>
        <v>84500</v>
      </c>
      <c r="M230" s="23">
        <f>('Cleaned Data'!$L230/'Cleaned Data'!$J230)</f>
        <v>9.4890510948905105E-2</v>
      </c>
      <c r="N230" s="5" t="str">
        <f>IF('Cleaned Data'!$G230&gt;10,"High-Volume","Low-Volume")</f>
        <v>High-Volume</v>
      </c>
      <c r="O230" s="5" t="str">
        <f>IF('Cleaned Data'!$I230&gt;=100000,"Premium","Standard")</f>
        <v>Standard</v>
      </c>
      <c r="P230" s="56" t="str">
        <f>IF(Zen_Elite_Shoe_Sales[[#This Row],[Revenue]]&gt;=1000000,"Top Performer","Average Performer")</f>
        <v>Average Performer</v>
      </c>
    </row>
    <row r="231" spans="1:16" x14ac:dyDescent="0.35">
      <c r="A231" s="46">
        <v>46252</v>
      </c>
      <c r="B231" s="28" t="s">
        <v>78</v>
      </c>
      <c r="C231" s="28" t="s">
        <v>41</v>
      </c>
      <c r="D231" s="28" t="s">
        <v>21</v>
      </c>
      <c r="E231" s="28" t="s">
        <v>12</v>
      </c>
      <c r="F231" s="28" t="s">
        <v>60</v>
      </c>
      <c r="G231" s="6">
        <v>7</v>
      </c>
      <c r="H231" s="15">
        <v>123000</v>
      </c>
      <c r="I231" s="15">
        <v>124800</v>
      </c>
      <c r="J231" s="15">
        <f>PRODUCT('Cleaned Data'!$G231,'Cleaned Data'!$I231)</f>
        <v>873600</v>
      </c>
      <c r="K231" s="15">
        <f>PRODUCT('Cleaned Data'!$G231,'Cleaned Data'!$H231)</f>
        <v>861000</v>
      </c>
      <c r="L231" s="15">
        <f>('Cleaned Data'!$J231-'Cleaned Data'!$K231)</f>
        <v>12600</v>
      </c>
      <c r="M231" s="23">
        <f>('Cleaned Data'!$L231/'Cleaned Data'!$J231)</f>
        <v>1.4423076923076924E-2</v>
      </c>
      <c r="N231" s="5" t="str">
        <f>IF('Cleaned Data'!$G231&gt;10,"High-Volume","Low-Volume")</f>
        <v>Low-Volume</v>
      </c>
      <c r="O231" s="5" t="str">
        <f>IF('Cleaned Data'!$I231&gt;=100000,"Premium","Standard")</f>
        <v>Premium</v>
      </c>
      <c r="P231" s="56" t="str">
        <f>IF(Zen_Elite_Shoe_Sales[[#This Row],[Revenue]]&gt;=1000000,"Top Performer","Average Performer")</f>
        <v>Average Performer</v>
      </c>
    </row>
    <row r="232" spans="1:16" x14ac:dyDescent="0.35">
      <c r="A232" s="46">
        <v>46253</v>
      </c>
      <c r="B232" s="28" t="s">
        <v>64</v>
      </c>
      <c r="C232" s="28" t="s">
        <v>41</v>
      </c>
      <c r="D232" s="28" t="s">
        <v>26</v>
      </c>
      <c r="E232" s="28" t="s">
        <v>59</v>
      </c>
      <c r="F232" s="28" t="s">
        <v>63</v>
      </c>
      <c r="G232" s="6">
        <v>8</v>
      </c>
      <c r="H232" s="15">
        <v>83000</v>
      </c>
      <c r="I232" s="15">
        <v>84800</v>
      </c>
      <c r="J232" s="15">
        <f>PRODUCT('Cleaned Data'!$G232,'Cleaned Data'!$I232)</f>
        <v>678400</v>
      </c>
      <c r="K232" s="15">
        <f>PRODUCT('Cleaned Data'!$G232,'Cleaned Data'!$H232)</f>
        <v>664000</v>
      </c>
      <c r="L232" s="15">
        <f>('Cleaned Data'!$J232-'Cleaned Data'!$K232)</f>
        <v>14400</v>
      </c>
      <c r="M232" s="23">
        <f>('Cleaned Data'!$L232/'Cleaned Data'!$J232)</f>
        <v>2.1226415094339621E-2</v>
      </c>
      <c r="N232" s="5" t="str">
        <f>IF('Cleaned Data'!$G232&gt;10,"High-Volume","Low-Volume")</f>
        <v>Low-Volume</v>
      </c>
      <c r="O232" s="5" t="str">
        <f>IF('Cleaned Data'!$I232&gt;=100000,"Premium","Standard")</f>
        <v>Standard</v>
      </c>
      <c r="P232" s="56" t="str">
        <f>IF(Zen_Elite_Shoe_Sales[[#This Row],[Revenue]]&gt;=1000000,"Top Performer","Average Performer")</f>
        <v>Average Performer</v>
      </c>
    </row>
    <row r="233" spans="1:16" x14ac:dyDescent="0.35">
      <c r="A233" s="46">
        <v>46254</v>
      </c>
      <c r="B233" s="28" t="s">
        <v>44</v>
      </c>
      <c r="C233" s="28" t="s">
        <v>41</v>
      </c>
      <c r="D233" s="28" t="s">
        <v>31</v>
      </c>
      <c r="E233" s="28" t="s">
        <v>71</v>
      </c>
      <c r="F233" s="28" t="s">
        <v>33</v>
      </c>
      <c r="G233" s="6">
        <v>11</v>
      </c>
      <c r="H233" s="15">
        <v>109000</v>
      </c>
      <c r="I233" s="15">
        <v>110800</v>
      </c>
      <c r="J233" s="15">
        <f>PRODUCT('Cleaned Data'!$G233,'Cleaned Data'!$I233)</f>
        <v>1218800</v>
      </c>
      <c r="K233" s="15">
        <f>PRODUCT('Cleaned Data'!$G233,'Cleaned Data'!$H233)</f>
        <v>1199000</v>
      </c>
      <c r="L233" s="15">
        <f>('Cleaned Data'!$J233-'Cleaned Data'!$K233)</f>
        <v>19800</v>
      </c>
      <c r="M233" s="23">
        <f>('Cleaned Data'!$L233/'Cleaned Data'!$J233)</f>
        <v>1.6245487364620937E-2</v>
      </c>
      <c r="N233" s="5" t="str">
        <f>IF('Cleaned Data'!$G233&gt;10,"High-Volume","Low-Volume")</f>
        <v>High-Volume</v>
      </c>
      <c r="O233" s="5" t="str">
        <f>IF('Cleaned Data'!$I233&gt;=100000,"Premium","Standard")</f>
        <v>Premium</v>
      </c>
      <c r="P233" s="56" t="str">
        <f>IF(Zen_Elite_Shoe_Sales[[#This Row],[Revenue]]&gt;=1000000,"Top Performer","Average Performer")</f>
        <v>Top Performer</v>
      </c>
    </row>
    <row r="234" spans="1:16" x14ac:dyDescent="0.35">
      <c r="A234" s="46">
        <v>46255</v>
      </c>
      <c r="B234" s="28" t="s">
        <v>78</v>
      </c>
      <c r="C234" s="28" t="s">
        <v>41</v>
      </c>
      <c r="D234" s="28" t="s">
        <v>31</v>
      </c>
      <c r="E234" s="28" t="s">
        <v>12</v>
      </c>
      <c r="F234" s="28" t="s">
        <v>18</v>
      </c>
      <c r="G234" s="6">
        <v>11</v>
      </c>
      <c r="H234" s="15">
        <v>112000</v>
      </c>
      <c r="I234" s="15">
        <v>113800</v>
      </c>
      <c r="J234" s="15">
        <f>PRODUCT('Cleaned Data'!$G234,'Cleaned Data'!$I234)</f>
        <v>1251800</v>
      </c>
      <c r="K234" s="15">
        <f>PRODUCT('Cleaned Data'!$G234,'Cleaned Data'!$H234)</f>
        <v>1232000</v>
      </c>
      <c r="L234" s="15">
        <f>('Cleaned Data'!$J234-'Cleaned Data'!$K234)</f>
        <v>19800</v>
      </c>
      <c r="M234" s="23">
        <f>('Cleaned Data'!$L234/'Cleaned Data'!$J234)</f>
        <v>1.5817223198594025E-2</v>
      </c>
      <c r="N234" s="5" t="str">
        <f>IF('Cleaned Data'!$G234&gt;10,"High-Volume","Low-Volume")</f>
        <v>High-Volume</v>
      </c>
      <c r="O234" s="5" t="str">
        <f>IF('Cleaned Data'!$I234&gt;=100000,"Premium","Standard")</f>
        <v>Premium</v>
      </c>
      <c r="P234" s="56" t="str">
        <f>IF(Zen_Elite_Shoe_Sales[[#This Row],[Revenue]]&gt;=1000000,"Top Performer","Average Performer")</f>
        <v>Top Performer</v>
      </c>
    </row>
    <row r="235" spans="1:16" x14ac:dyDescent="0.35">
      <c r="A235" s="46">
        <v>46256</v>
      </c>
      <c r="B235" s="28" t="s">
        <v>19</v>
      </c>
      <c r="C235" s="28" t="s">
        <v>50</v>
      </c>
      <c r="D235" s="28" t="s">
        <v>21</v>
      </c>
      <c r="E235" s="28" t="s">
        <v>27</v>
      </c>
      <c r="F235" s="28" t="s">
        <v>18</v>
      </c>
      <c r="G235" s="6">
        <v>6</v>
      </c>
      <c r="H235" s="15">
        <v>40000</v>
      </c>
      <c r="I235" s="15">
        <v>45000</v>
      </c>
      <c r="J235" s="15">
        <f>PRODUCT('Cleaned Data'!$G235,'Cleaned Data'!$I235)</f>
        <v>270000</v>
      </c>
      <c r="K235" s="15">
        <f>PRODUCT('Cleaned Data'!$G235,'Cleaned Data'!$H235)</f>
        <v>240000</v>
      </c>
      <c r="L235" s="15">
        <f>('Cleaned Data'!$J235-'Cleaned Data'!$K235)</f>
        <v>30000</v>
      </c>
      <c r="M235" s="23">
        <f>('Cleaned Data'!$L235/'Cleaned Data'!$J235)</f>
        <v>0.1111111111111111</v>
      </c>
      <c r="N235" s="5" t="str">
        <f>IF('Cleaned Data'!$G235&gt;10,"High-Volume","Low-Volume")</f>
        <v>Low-Volume</v>
      </c>
      <c r="O235" s="5" t="str">
        <f>IF('Cleaned Data'!$I235&gt;=100000,"Premium","Standard")</f>
        <v>Standard</v>
      </c>
      <c r="P235" s="56" t="str">
        <f>IF(Zen_Elite_Shoe_Sales[[#This Row],[Revenue]]&gt;=1000000,"Top Performer","Average Performer")</f>
        <v>Average Performer</v>
      </c>
    </row>
    <row r="236" spans="1:16" x14ac:dyDescent="0.35">
      <c r="A236" s="46">
        <v>46257</v>
      </c>
      <c r="B236" s="28" t="s">
        <v>78</v>
      </c>
      <c r="C236" s="28" t="s">
        <v>41</v>
      </c>
      <c r="D236" s="28" t="s">
        <v>11</v>
      </c>
      <c r="E236" s="28" t="s">
        <v>12</v>
      </c>
      <c r="F236" s="28" t="s">
        <v>52</v>
      </c>
      <c r="G236" s="6">
        <v>14</v>
      </c>
      <c r="H236" s="15">
        <v>133000</v>
      </c>
      <c r="I236" s="15">
        <v>134800</v>
      </c>
      <c r="J236" s="15">
        <f>PRODUCT('Cleaned Data'!$G236,'Cleaned Data'!$I236)</f>
        <v>1887200</v>
      </c>
      <c r="K236" s="15">
        <f>PRODUCT('Cleaned Data'!$G236,'Cleaned Data'!$H236)</f>
        <v>1862000</v>
      </c>
      <c r="L236" s="15">
        <f>('Cleaned Data'!$J236-'Cleaned Data'!$K236)</f>
        <v>25200</v>
      </c>
      <c r="M236" s="23">
        <f>('Cleaned Data'!$L236/'Cleaned Data'!$J236)</f>
        <v>1.3353115727002967E-2</v>
      </c>
      <c r="N236" s="5" t="str">
        <f>IF('Cleaned Data'!$G236&gt;10,"High-Volume","Low-Volume")</f>
        <v>High-Volume</v>
      </c>
      <c r="O236" s="5" t="str">
        <f>IF('Cleaned Data'!$I236&gt;=100000,"Premium","Standard")</f>
        <v>Premium</v>
      </c>
      <c r="P236" s="56" t="str">
        <f>IF(Zen_Elite_Shoe_Sales[[#This Row],[Revenue]]&gt;=1000000,"Top Performer","Average Performer")</f>
        <v>Top Performer</v>
      </c>
    </row>
    <row r="237" spans="1:16" x14ac:dyDescent="0.35">
      <c r="A237" s="47">
        <v>46258</v>
      </c>
      <c r="B237" s="29" t="s">
        <v>78</v>
      </c>
      <c r="C237" s="29" t="s">
        <v>41</v>
      </c>
      <c r="D237" s="29" t="s">
        <v>16</v>
      </c>
      <c r="E237" s="29" t="s">
        <v>27</v>
      </c>
      <c r="F237" s="29" t="s">
        <v>18</v>
      </c>
      <c r="G237" s="10">
        <v>15</v>
      </c>
      <c r="H237" s="16">
        <v>115000</v>
      </c>
      <c r="I237" s="16">
        <v>116800</v>
      </c>
      <c r="J237" s="16">
        <f>PRODUCT('Cleaned Data'!$G237,'Cleaned Data'!$I237)</f>
        <v>1752000</v>
      </c>
      <c r="K237" s="16">
        <f>PRODUCT('Cleaned Data'!$G237,'Cleaned Data'!$H237)</f>
        <v>1725000</v>
      </c>
      <c r="L237" s="16">
        <f>('Cleaned Data'!$J237-'Cleaned Data'!$K237)</f>
        <v>27000</v>
      </c>
      <c r="M237" s="24">
        <f>('Cleaned Data'!$L237/'Cleaned Data'!$J237)</f>
        <v>1.5410958904109588E-2</v>
      </c>
      <c r="N237" s="9" t="str">
        <f>IF('Cleaned Data'!$G237&gt;10,"High-Volume","Low-Volume")</f>
        <v>High-Volume</v>
      </c>
      <c r="O237" s="9" t="str">
        <f>IF('Cleaned Data'!$I237&gt;=100000,"Premium","Standard")</f>
        <v>Premium</v>
      </c>
      <c r="P237" s="56" t="str">
        <f>IF(Zen_Elite_Shoe_Sales[[#This Row],[Revenue]]&gt;=1000000,"Top Performer","Average Performer")</f>
        <v>Top Performer</v>
      </c>
    </row>
    <row r="238" spans="1:16" x14ac:dyDescent="0.35">
      <c r="A238" s="46">
        <v>46259</v>
      </c>
      <c r="B238" s="28" t="s">
        <v>19</v>
      </c>
      <c r="C238" s="28" t="s">
        <v>50</v>
      </c>
      <c r="D238" s="28" t="s">
        <v>16</v>
      </c>
      <c r="E238" s="28" t="s">
        <v>47</v>
      </c>
      <c r="F238" s="28" t="s">
        <v>52</v>
      </c>
      <c r="G238" s="6">
        <v>4</v>
      </c>
      <c r="H238" s="15">
        <v>54000</v>
      </c>
      <c r="I238" s="15">
        <v>60000</v>
      </c>
      <c r="J238" s="15">
        <f>PRODUCT('Cleaned Data'!$G238,'Cleaned Data'!$I238)</f>
        <v>240000</v>
      </c>
      <c r="K238" s="15">
        <f>PRODUCT('Cleaned Data'!$G238,'Cleaned Data'!$H238)</f>
        <v>216000</v>
      </c>
      <c r="L238" s="15">
        <f>('Cleaned Data'!$J238-'Cleaned Data'!$K238)</f>
        <v>24000</v>
      </c>
      <c r="M238" s="23">
        <f>('Cleaned Data'!$L238/'Cleaned Data'!$J238)</f>
        <v>0.1</v>
      </c>
      <c r="N238" s="5" t="str">
        <f>IF('Cleaned Data'!$G238&gt;10,"High-Volume","Low-Volume")</f>
        <v>Low-Volume</v>
      </c>
      <c r="O238" s="5" t="str">
        <f>IF('Cleaned Data'!$I238&gt;=100000,"Premium","Standard")</f>
        <v>Standard</v>
      </c>
      <c r="P238" s="56" t="str">
        <f>IF(Zen_Elite_Shoe_Sales[[#This Row],[Revenue]]&gt;=1000000,"Top Performer","Average Performer")</f>
        <v>Average Performer</v>
      </c>
    </row>
    <row r="239" spans="1:16" x14ac:dyDescent="0.35">
      <c r="A239" s="47">
        <v>46260</v>
      </c>
      <c r="B239" s="29" t="s">
        <v>19</v>
      </c>
      <c r="C239" s="29" t="s">
        <v>50</v>
      </c>
      <c r="D239" s="29" t="s">
        <v>11</v>
      </c>
      <c r="E239" s="29" t="s">
        <v>59</v>
      </c>
      <c r="F239" s="29" t="s">
        <v>23</v>
      </c>
      <c r="G239" s="10">
        <v>14</v>
      </c>
      <c r="H239" s="16">
        <v>43000</v>
      </c>
      <c r="I239" s="16">
        <v>48000</v>
      </c>
      <c r="J239" s="16">
        <f>PRODUCT('Cleaned Data'!$G239,'Cleaned Data'!$I239)</f>
        <v>672000</v>
      </c>
      <c r="K239" s="16">
        <f>PRODUCT('Cleaned Data'!$G239,'Cleaned Data'!$H239)</f>
        <v>602000</v>
      </c>
      <c r="L239" s="16">
        <f>('Cleaned Data'!$J239-'Cleaned Data'!$K239)</f>
        <v>70000</v>
      </c>
      <c r="M239" s="24">
        <f>('Cleaned Data'!$L239/'Cleaned Data'!$J239)</f>
        <v>0.10416666666666667</v>
      </c>
      <c r="N239" s="9" t="str">
        <f>IF('Cleaned Data'!$G239&gt;10,"High-Volume","Low-Volume")</f>
        <v>High-Volume</v>
      </c>
      <c r="O239" s="9" t="str">
        <f>IF('Cleaned Data'!$I239&gt;=100000,"Premium","Standard")</f>
        <v>Standard</v>
      </c>
      <c r="P239" s="56" t="str">
        <f>IF(Zen_Elite_Shoe_Sales[[#This Row],[Revenue]]&gt;=1000000,"Top Performer","Average Performer")</f>
        <v>Average Performer</v>
      </c>
    </row>
    <row r="240" spans="1:16" x14ac:dyDescent="0.35">
      <c r="A240" s="46">
        <v>46261</v>
      </c>
      <c r="B240" s="28" t="s">
        <v>64</v>
      </c>
      <c r="C240" s="28" t="s">
        <v>41</v>
      </c>
      <c r="D240" s="28" t="s">
        <v>31</v>
      </c>
      <c r="E240" s="28" t="s">
        <v>27</v>
      </c>
      <c r="F240" s="28" t="s">
        <v>63</v>
      </c>
      <c r="G240" s="6">
        <v>10</v>
      </c>
      <c r="H240" s="15">
        <v>97000</v>
      </c>
      <c r="I240" s="15">
        <v>98800</v>
      </c>
      <c r="J240" s="15">
        <f>PRODUCT('Cleaned Data'!$G240,'Cleaned Data'!$I240)</f>
        <v>988000</v>
      </c>
      <c r="K240" s="15">
        <f>PRODUCT('Cleaned Data'!$G240,'Cleaned Data'!$H240)</f>
        <v>970000</v>
      </c>
      <c r="L240" s="15">
        <f>('Cleaned Data'!$J240-'Cleaned Data'!$K240)</f>
        <v>18000</v>
      </c>
      <c r="M240" s="23">
        <f>('Cleaned Data'!$L240/'Cleaned Data'!$J240)</f>
        <v>1.8218623481781375E-2</v>
      </c>
      <c r="N240" s="5" t="str">
        <f>IF('Cleaned Data'!$G240&gt;10,"High-Volume","Low-Volume")</f>
        <v>Low-Volume</v>
      </c>
      <c r="O240" s="5" t="str">
        <f>IF('Cleaned Data'!$I240&gt;=100000,"Premium","Standard")</f>
        <v>Standard</v>
      </c>
      <c r="P240" s="56" t="str">
        <f>IF(Zen_Elite_Shoe_Sales[[#This Row],[Revenue]]&gt;=1000000,"Top Performer","Average Performer")</f>
        <v>Average Performer</v>
      </c>
    </row>
    <row r="241" spans="1:16" x14ac:dyDescent="0.35">
      <c r="A241" s="46">
        <v>46262</v>
      </c>
      <c r="B241" s="28" t="s">
        <v>53</v>
      </c>
      <c r="C241" s="28" t="s">
        <v>15</v>
      </c>
      <c r="D241" s="28" t="s">
        <v>21</v>
      </c>
      <c r="E241" s="28" t="s">
        <v>12</v>
      </c>
      <c r="F241" s="28" t="s">
        <v>28</v>
      </c>
      <c r="G241" s="6">
        <v>3</v>
      </c>
      <c r="H241" s="15">
        <v>64000</v>
      </c>
      <c r="I241" s="15">
        <v>70500</v>
      </c>
      <c r="J241" s="15">
        <f>PRODUCT('Cleaned Data'!$G241,'Cleaned Data'!$I241)</f>
        <v>211500</v>
      </c>
      <c r="K241" s="15">
        <f>PRODUCT('Cleaned Data'!$G241,'Cleaned Data'!$H241)</f>
        <v>192000</v>
      </c>
      <c r="L241" s="15">
        <f>('Cleaned Data'!$J241-'Cleaned Data'!$K241)</f>
        <v>19500</v>
      </c>
      <c r="M241" s="23">
        <f>('Cleaned Data'!$L241/'Cleaned Data'!$J241)</f>
        <v>9.2198581560283682E-2</v>
      </c>
      <c r="N241" s="5" t="str">
        <f>IF('Cleaned Data'!$G241&gt;10,"High-Volume","Low-Volume")</f>
        <v>Low-Volume</v>
      </c>
      <c r="O241" s="5" t="str">
        <f>IF('Cleaned Data'!$I241&gt;=100000,"Premium","Standard")</f>
        <v>Standard</v>
      </c>
      <c r="P241" s="56" t="str">
        <f>IF(Zen_Elite_Shoe_Sales[[#This Row],[Revenue]]&gt;=1000000,"Top Performer","Average Performer")</f>
        <v>Average Performer</v>
      </c>
    </row>
    <row r="242" spans="1:16" x14ac:dyDescent="0.35">
      <c r="A242" s="46">
        <v>46263</v>
      </c>
      <c r="B242" s="28" t="s">
        <v>44</v>
      </c>
      <c r="C242" s="28" t="s">
        <v>41</v>
      </c>
      <c r="D242" s="28" t="s">
        <v>11</v>
      </c>
      <c r="E242" s="28" t="s">
        <v>12</v>
      </c>
      <c r="F242" s="28" t="s">
        <v>48</v>
      </c>
      <c r="G242" s="6">
        <v>6</v>
      </c>
      <c r="H242" s="15">
        <v>139000</v>
      </c>
      <c r="I242" s="15">
        <v>140800</v>
      </c>
      <c r="J242" s="15">
        <f>PRODUCT('Cleaned Data'!$G242,'Cleaned Data'!$I242)</f>
        <v>844800</v>
      </c>
      <c r="K242" s="15">
        <f>PRODUCT('Cleaned Data'!$G242,'Cleaned Data'!$H242)</f>
        <v>834000</v>
      </c>
      <c r="L242" s="15">
        <f>('Cleaned Data'!$J242-'Cleaned Data'!$K242)</f>
        <v>10800</v>
      </c>
      <c r="M242" s="23">
        <f>('Cleaned Data'!$L242/'Cleaned Data'!$J242)</f>
        <v>1.278409090909091E-2</v>
      </c>
      <c r="N242" s="5" t="str">
        <f>IF('Cleaned Data'!$G242&gt;10,"High-Volume","Low-Volume")</f>
        <v>Low-Volume</v>
      </c>
      <c r="O242" s="5" t="str">
        <f>IF('Cleaned Data'!$I242&gt;=100000,"Premium","Standard")</f>
        <v>Premium</v>
      </c>
      <c r="P242" s="56" t="str">
        <f>IF(Zen_Elite_Shoe_Sales[[#This Row],[Revenue]]&gt;=1000000,"Top Performer","Average Performer")</f>
        <v>Average Performer</v>
      </c>
    </row>
    <row r="243" spans="1:16" x14ac:dyDescent="0.35">
      <c r="A243" s="46">
        <v>46264</v>
      </c>
      <c r="B243" s="28" t="s">
        <v>34</v>
      </c>
      <c r="C243" s="28" t="s">
        <v>41</v>
      </c>
      <c r="D243" s="28" t="s">
        <v>16</v>
      </c>
      <c r="E243" s="28" t="s">
        <v>27</v>
      </c>
      <c r="F243" s="28" t="s">
        <v>45</v>
      </c>
      <c r="G243" s="6">
        <v>1</v>
      </c>
      <c r="H243" s="15">
        <v>110000</v>
      </c>
      <c r="I243" s="15">
        <v>111800</v>
      </c>
      <c r="J243" s="15">
        <f>PRODUCT('Cleaned Data'!$G243,'Cleaned Data'!$I243)</f>
        <v>111800</v>
      </c>
      <c r="K243" s="15">
        <f>PRODUCT('Cleaned Data'!$G243,'Cleaned Data'!$H243)</f>
        <v>110000</v>
      </c>
      <c r="L243" s="15">
        <f>('Cleaned Data'!$J243-'Cleaned Data'!$K243)</f>
        <v>1800</v>
      </c>
      <c r="M243" s="23">
        <f>('Cleaned Data'!$L243/'Cleaned Data'!$J243)</f>
        <v>1.6100178890876567E-2</v>
      </c>
      <c r="N243" s="5" t="str">
        <f>IF('Cleaned Data'!$G243&gt;10,"High-Volume","Low-Volume")</f>
        <v>Low-Volume</v>
      </c>
      <c r="O243" s="5" t="str">
        <f>IF('Cleaned Data'!$I243&gt;=100000,"Premium","Standard")</f>
        <v>Premium</v>
      </c>
      <c r="P243" s="56" t="str">
        <f>IF(Zen_Elite_Shoe_Sales[[#This Row],[Revenue]]&gt;=1000000,"Top Performer","Average Performer")</f>
        <v>Average Performer</v>
      </c>
    </row>
    <row r="244" spans="1:16" x14ac:dyDescent="0.35">
      <c r="A244" s="46">
        <v>46265</v>
      </c>
      <c r="B244" s="28" t="s">
        <v>78</v>
      </c>
      <c r="C244" s="28" t="s">
        <v>41</v>
      </c>
      <c r="D244" s="28" t="s">
        <v>26</v>
      </c>
      <c r="E244" s="28" t="s">
        <v>12</v>
      </c>
      <c r="F244" s="28" t="s">
        <v>39</v>
      </c>
      <c r="G244" s="6">
        <v>8</v>
      </c>
      <c r="H244" s="15">
        <v>120000</v>
      </c>
      <c r="I244" s="15">
        <v>121800</v>
      </c>
      <c r="J244" s="15">
        <f>PRODUCT('Cleaned Data'!$G244,'Cleaned Data'!$I244)</f>
        <v>974400</v>
      </c>
      <c r="K244" s="15">
        <f>PRODUCT('Cleaned Data'!$G244,'Cleaned Data'!$H244)</f>
        <v>960000</v>
      </c>
      <c r="L244" s="15">
        <f>('Cleaned Data'!$J244-'Cleaned Data'!$K244)</f>
        <v>14400</v>
      </c>
      <c r="M244" s="23">
        <f>('Cleaned Data'!$L244/'Cleaned Data'!$J244)</f>
        <v>1.4778325123152709E-2</v>
      </c>
      <c r="N244" s="5" t="str">
        <f>IF('Cleaned Data'!$G244&gt;10,"High-Volume","Low-Volume")</f>
        <v>Low-Volume</v>
      </c>
      <c r="O244" s="5" t="str">
        <f>IF('Cleaned Data'!$I244&gt;=100000,"Premium","Standard")</f>
        <v>Premium</v>
      </c>
      <c r="P244" s="56" t="str">
        <f>IF(Zen_Elite_Shoe_Sales[[#This Row],[Revenue]]&gt;=1000000,"Top Performer","Average Performer")</f>
        <v>Average Performer</v>
      </c>
    </row>
    <row r="245" spans="1:16" x14ac:dyDescent="0.35">
      <c r="A245" s="46">
        <v>46266</v>
      </c>
      <c r="B245" s="28" t="s">
        <v>73</v>
      </c>
      <c r="C245" s="28" t="s">
        <v>30</v>
      </c>
      <c r="D245" s="28" t="s">
        <v>26</v>
      </c>
      <c r="E245" s="28" t="s">
        <v>59</v>
      </c>
      <c r="F245" s="28" t="s">
        <v>43</v>
      </c>
      <c r="G245" s="6">
        <v>8</v>
      </c>
      <c r="H245" s="15">
        <v>68000</v>
      </c>
      <c r="I245" s="15">
        <v>74500</v>
      </c>
      <c r="J245" s="15">
        <f>PRODUCT('Cleaned Data'!$G245,'Cleaned Data'!$I245)</f>
        <v>596000</v>
      </c>
      <c r="K245" s="15">
        <f>PRODUCT('Cleaned Data'!$G245,'Cleaned Data'!$H245)</f>
        <v>544000</v>
      </c>
      <c r="L245" s="15">
        <f>('Cleaned Data'!$J245-'Cleaned Data'!$K245)</f>
        <v>52000</v>
      </c>
      <c r="M245" s="23">
        <f>('Cleaned Data'!$L245/'Cleaned Data'!$J245)</f>
        <v>8.7248322147651006E-2</v>
      </c>
      <c r="N245" s="5" t="str">
        <f>IF('Cleaned Data'!$G245&gt;10,"High-Volume","Low-Volume")</f>
        <v>Low-Volume</v>
      </c>
      <c r="O245" s="5" t="str">
        <f>IF('Cleaned Data'!$I245&gt;=100000,"Premium","Standard")</f>
        <v>Standard</v>
      </c>
      <c r="P245" s="56" t="str">
        <f>IF(Zen_Elite_Shoe_Sales[[#This Row],[Revenue]]&gt;=1000000,"Top Performer","Average Performer")</f>
        <v>Average Performer</v>
      </c>
    </row>
    <row r="246" spans="1:16" x14ac:dyDescent="0.35">
      <c r="A246" s="46">
        <v>46267</v>
      </c>
      <c r="B246" s="28" t="s">
        <v>67</v>
      </c>
      <c r="C246" s="28" t="s">
        <v>15</v>
      </c>
      <c r="D246" s="28" t="s">
        <v>16</v>
      </c>
      <c r="E246" s="28" t="s">
        <v>47</v>
      </c>
      <c r="F246" s="28" t="s">
        <v>48</v>
      </c>
      <c r="G246" s="6">
        <v>1</v>
      </c>
      <c r="H246" s="15">
        <v>62000</v>
      </c>
      <c r="I246" s="15">
        <v>68500</v>
      </c>
      <c r="J246" s="15">
        <f>PRODUCT('Cleaned Data'!$G246,'Cleaned Data'!$I246)</f>
        <v>68500</v>
      </c>
      <c r="K246" s="15">
        <f>PRODUCT('Cleaned Data'!$G246,'Cleaned Data'!$H246)</f>
        <v>62000</v>
      </c>
      <c r="L246" s="15">
        <f>('Cleaned Data'!$J246-'Cleaned Data'!$K246)</f>
        <v>6500</v>
      </c>
      <c r="M246" s="23">
        <f>('Cleaned Data'!$L246/'Cleaned Data'!$J246)</f>
        <v>9.4890510948905105E-2</v>
      </c>
      <c r="N246" s="5" t="str">
        <f>IF('Cleaned Data'!$G246&gt;10,"High-Volume","Low-Volume")</f>
        <v>Low-Volume</v>
      </c>
      <c r="O246" s="5" t="str">
        <f>IF('Cleaned Data'!$I246&gt;=100000,"Premium","Standard")</f>
        <v>Standard</v>
      </c>
      <c r="P246" s="56" t="str">
        <f>IF(Zen_Elite_Shoe_Sales[[#This Row],[Revenue]]&gt;=1000000,"Top Performer","Average Performer")</f>
        <v>Average Performer</v>
      </c>
    </row>
    <row r="247" spans="1:16" x14ac:dyDescent="0.35">
      <c r="A247" s="46">
        <v>46268</v>
      </c>
      <c r="B247" s="28" t="s">
        <v>34</v>
      </c>
      <c r="C247" s="28" t="s">
        <v>41</v>
      </c>
      <c r="D247" s="28" t="s">
        <v>21</v>
      </c>
      <c r="E247" s="28" t="s">
        <v>59</v>
      </c>
      <c r="F247" s="28" t="s">
        <v>56</v>
      </c>
      <c r="G247" s="6">
        <v>3</v>
      </c>
      <c r="H247" s="15">
        <v>103000</v>
      </c>
      <c r="I247" s="15">
        <v>104800</v>
      </c>
      <c r="J247" s="15">
        <f>PRODUCT('Cleaned Data'!$G247,'Cleaned Data'!$I247)</f>
        <v>314400</v>
      </c>
      <c r="K247" s="15">
        <f>PRODUCT('Cleaned Data'!$G247,'Cleaned Data'!$H247)</f>
        <v>309000</v>
      </c>
      <c r="L247" s="15">
        <f>('Cleaned Data'!$J247-'Cleaned Data'!$K247)</f>
        <v>5400</v>
      </c>
      <c r="M247" s="23">
        <f>('Cleaned Data'!$L247/'Cleaned Data'!$J247)</f>
        <v>1.717557251908397E-2</v>
      </c>
      <c r="N247" s="5" t="str">
        <f>IF('Cleaned Data'!$G247&gt;10,"High-Volume","Low-Volume")</f>
        <v>Low-Volume</v>
      </c>
      <c r="O247" s="5" t="str">
        <f>IF('Cleaned Data'!$I247&gt;=100000,"Premium","Standard")</f>
        <v>Premium</v>
      </c>
      <c r="P247" s="56" t="str">
        <f>IF(Zen_Elite_Shoe_Sales[[#This Row],[Revenue]]&gt;=1000000,"Top Performer","Average Performer")</f>
        <v>Average Performer</v>
      </c>
    </row>
    <row r="248" spans="1:16" x14ac:dyDescent="0.35">
      <c r="A248" s="46">
        <v>46269</v>
      </c>
      <c r="B248" s="28" t="s">
        <v>73</v>
      </c>
      <c r="C248" s="28" t="s">
        <v>30</v>
      </c>
      <c r="D248" s="28" t="s">
        <v>21</v>
      </c>
      <c r="E248" s="28" t="s">
        <v>47</v>
      </c>
      <c r="F248" s="28" t="s">
        <v>48</v>
      </c>
      <c r="G248" s="6">
        <v>13</v>
      </c>
      <c r="H248" s="15">
        <v>76000</v>
      </c>
      <c r="I248" s="15">
        <v>79000</v>
      </c>
      <c r="J248" s="15">
        <f>PRODUCT('Cleaned Data'!$G248,'Cleaned Data'!$I248)</f>
        <v>1027000</v>
      </c>
      <c r="K248" s="15">
        <f>PRODUCT('Cleaned Data'!$G248,'Cleaned Data'!$H248)</f>
        <v>988000</v>
      </c>
      <c r="L248" s="15">
        <f>('Cleaned Data'!$J248-'Cleaned Data'!$K248)</f>
        <v>39000</v>
      </c>
      <c r="M248" s="23">
        <f>('Cleaned Data'!$L248/'Cleaned Data'!$J248)</f>
        <v>3.7974683544303799E-2</v>
      </c>
      <c r="N248" s="5" t="str">
        <f>IF('Cleaned Data'!$G248&gt;10,"High-Volume","Low-Volume")</f>
        <v>High-Volume</v>
      </c>
      <c r="O248" s="5" t="str">
        <f>IF('Cleaned Data'!$I248&gt;=100000,"Premium","Standard")</f>
        <v>Standard</v>
      </c>
      <c r="P248" s="56" t="str">
        <f>IF(Zen_Elite_Shoe_Sales[[#This Row],[Revenue]]&gt;=1000000,"Top Performer","Average Performer")</f>
        <v>Top Performer</v>
      </c>
    </row>
    <row r="249" spans="1:16" x14ac:dyDescent="0.35">
      <c r="A249" s="46">
        <v>46270</v>
      </c>
      <c r="B249" s="28" t="s">
        <v>53</v>
      </c>
      <c r="C249" s="28" t="s">
        <v>15</v>
      </c>
      <c r="D249" s="28" t="s">
        <v>11</v>
      </c>
      <c r="E249" s="28" t="s">
        <v>12</v>
      </c>
      <c r="F249" s="28" t="s">
        <v>63</v>
      </c>
      <c r="G249" s="6">
        <v>13</v>
      </c>
      <c r="H249" s="15">
        <v>66000</v>
      </c>
      <c r="I249" s="15">
        <v>72500</v>
      </c>
      <c r="J249" s="15">
        <f>PRODUCT('Cleaned Data'!$G249,'Cleaned Data'!$I249)</f>
        <v>942500</v>
      </c>
      <c r="K249" s="15">
        <f>PRODUCT('Cleaned Data'!$G249,'Cleaned Data'!$H249)</f>
        <v>858000</v>
      </c>
      <c r="L249" s="15">
        <f>('Cleaned Data'!$J249-'Cleaned Data'!$K249)</f>
        <v>84500</v>
      </c>
      <c r="M249" s="23">
        <f>('Cleaned Data'!$L249/'Cleaned Data'!$J249)</f>
        <v>8.9655172413793102E-2</v>
      </c>
      <c r="N249" s="5" t="str">
        <f>IF('Cleaned Data'!$G249&gt;10,"High-Volume","Low-Volume")</f>
        <v>High-Volume</v>
      </c>
      <c r="O249" s="5" t="str">
        <f>IF('Cleaned Data'!$I249&gt;=100000,"Premium","Standard")</f>
        <v>Standard</v>
      </c>
      <c r="P249" s="56" t="str">
        <f>IF(Zen_Elite_Shoe_Sales[[#This Row],[Revenue]]&gt;=1000000,"Top Performer","Average Performer")</f>
        <v>Average Performer</v>
      </c>
    </row>
    <row r="250" spans="1:16" x14ac:dyDescent="0.35">
      <c r="A250" s="46">
        <v>46271</v>
      </c>
      <c r="B250" s="28" t="s">
        <v>78</v>
      </c>
      <c r="C250" s="28" t="s">
        <v>41</v>
      </c>
      <c r="D250" s="28" t="s">
        <v>11</v>
      </c>
      <c r="E250" s="28" t="s">
        <v>27</v>
      </c>
      <c r="F250" s="28" t="s">
        <v>39</v>
      </c>
      <c r="G250" s="6">
        <v>4</v>
      </c>
      <c r="H250" s="15">
        <v>127000</v>
      </c>
      <c r="I250" s="15">
        <v>128800</v>
      </c>
      <c r="J250" s="15">
        <f>PRODUCT('Cleaned Data'!$G250,'Cleaned Data'!$I250)</f>
        <v>515200</v>
      </c>
      <c r="K250" s="15">
        <f>PRODUCT('Cleaned Data'!$G250,'Cleaned Data'!$H250)</f>
        <v>508000</v>
      </c>
      <c r="L250" s="15">
        <f>('Cleaned Data'!$J250-'Cleaned Data'!$K250)</f>
        <v>7200</v>
      </c>
      <c r="M250" s="23">
        <f>('Cleaned Data'!$L250/'Cleaned Data'!$J250)</f>
        <v>1.3975155279503106E-2</v>
      </c>
      <c r="N250" s="5" t="str">
        <f>IF('Cleaned Data'!$G250&gt;10,"High-Volume","Low-Volume")</f>
        <v>Low-Volume</v>
      </c>
      <c r="O250" s="5" t="str">
        <f>IF('Cleaned Data'!$I250&gt;=100000,"Premium","Standard")</f>
        <v>Premium</v>
      </c>
      <c r="P250" s="56" t="str">
        <f>IF(Zen_Elite_Shoe_Sales[[#This Row],[Revenue]]&gt;=1000000,"Top Performer","Average Performer")</f>
        <v>Average Performer</v>
      </c>
    </row>
    <row r="251" spans="1:16" x14ac:dyDescent="0.35">
      <c r="A251" s="46">
        <v>46272</v>
      </c>
      <c r="B251" s="28" t="s">
        <v>73</v>
      </c>
      <c r="C251" s="28" t="s">
        <v>30</v>
      </c>
      <c r="D251" s="28" t="s">
        <v>11</v>
      </c>
      <c r="E251" s="28" t="s">
        <v>27</v>
      </c>
      <c r="F251" s="28" t="s">
        <v>23</v>
      </c>
      <c r="G251" s="6">
        <v>2</v>
      </c>
      <c r="H251" s="15">
        <v>77000</v>
      </c>
      <c r="I251" s="15">
        <v>80000</v>
      </c>
      <c r="J251" s="15">
        <f>PRODUCT('Cleaned Data'!$G251,'Cleaned Data'!$I251)</f>
        <v>160000</v>
      </c>
      <c r="K251" s="15">
        <f>PRODUCT('Cleaned Data'!$G251,'Cleaned Data'!$H251)</f>
        <v>154000</v>
      </c>
      <c r="L251" s="15">
        <f>('Cleaned Data'!$J251-'Cleaned Data'!$K251)</f>
        <v>6000</v>
      </c>
      <c r="M251" s="23">
        <f>('Cleaned Data'!$L251/'Cleaned Data'!$J251)</f>
        <v>3.7499999999999999E-2</v>
      </c>
      <c r="N251" s="5" t="str">
        <f>IF('Cleaned Data'!$G251&gt;10,"High-Volume","Low-Volume")</f>
        <v>Low-Volume</v>
      </c>
      <c r="O251" s="5" t="str">
        <f>IF('Cleaned Data'!$I251&gt;=100000,"Premium","Standard")</f>
        <v>Standard</v>
      </c>
      <c r="P251" s="56" t="str">
        <f>IF(Zen_Elite_Shoe_Sales[[#This Row],[Revenue]]&gt;=1000000,"Top Performer","Average Performer")</f>
        <v>Average Performer</v>
      </c>
    </row>
    <row r="252" spans="1:16" x14ac:dyDescent="0.35">
      <c r="A252" s="46">
        <v>46273</v>
      </c>
      <c r="B252" s="28" t="s">
        <v>34</v>
      </c>
      <c r="C252" s="28" t="s">
        <v>41</v>
      </c>
      <c r="D252" s="28" t="s">
        <v>11</v>
      </c>
      <c r="E252" s="28" t="s">
        <v>12</v>
      </c>
      <c r="F252" s="28" t="s">
        <v>37</v>
      </c>
      <c r="G252" s="6">
        <v>5</v>
      </c>
      <c r="H252" s="15">
        <v>121000</v>
      </c>
      <c r="I252" s="15">
        <v>122800</v>
      </c>
      <c r="J252" s="15">
        <f>PRODUCT('Cleaned Data'!$G252,'Cleaned Data'!$I252)</f>
        <v>614000</v>
      </c>
      <c r="K252" s="15">
        <f>PRODUCT('Cleaned Data'!$G252,'Cleaned Data'!$H252)</f>
        <v>605000</v>
      </c>
      <c r="L252" s="15">
        <f>('Cleaned Data'!$J252-'Cleaned Data'!$K252)</f>
        <v>9000</v>
      </c>
      <c r="M252" s="23">
        <f>('Cleaned Data'!$L252/'Cleaned Data'!$J252)</f>
        <v>1.4657980456026058E-2</v>
      </c>
      <c r="N252" s="5" t="str">
        <f>IF('Cleaned Data'!$G252&gt;10,"High-Volume","Low-Volume")</f>
        <v>Low-Volume</v>
      </c>
      <c r="O252" s="5" t="str">
        <f>IF('Cleaned Data'!$I252&gt;=100000,"Premium","Standard")</f>
        <v>Premium</v>
      </c>
      <c r="P252" s="56" t="str">
        <f>IF(Zen_Elite_Shoe_Sales[[#This Row],[Revenue]]&gt;=1000000,"Top Performer","Average Performer")</f>
        <v>Average Performer</v>
      </c>
    </row>
    <row r="253" spans="1:16" x14ac:dyDescent="0.35">
      <c r="A253" s="46">
        <v>46274</v>
      </c>
      <c r="B253" s="28" t="s">
        <v>19</v>
      </c>
      <c r="C253" s="28" t="s">
        <v>50</v>
      </c>
      <c r="D253" s="28" t="s">
        <v>21</v>
      </c>
      <c r="E253" s="28" t="s">
        <v>47</v>
      </c>
      <c r="F253" s="28" t="s">
        <v>39</v>
      </c>
      <c r="G253" s="6">
        <v>14</v>
      </c>
      <c r="H253" s="15">
        <v>46000</v>
      </c>
      <c r="I253" s="15">
        <v>51000</v>
      </c>
      <c r="J253" s="15">
        <f>PRODUCT('Cleaned Data'!$G253,'Cleaned Data'!$I253)</f>
        <v>714000</v>
      </c>
      <c r="K253" s="15">
        <f>PRODUCT('Cleaned Data'!$G253,'Cleaned Data'!$H253)</f>
        <v>644000</v>
      </c>
      <c r="L253" s="15">
        <f>('Cleaned Data'!$J253-'Cleaned Data'!$K253)</f>
        <v>70000</v>
      </c>
      <c r="M253" s="23">
        <f>('Cleaned Data'!$L253/'Cleaned Data'!$J253)</f>
        <v>9.8039215686274508E-2</v>
      </c>
      <c r="N253" s="5" t="str">
        <f>IF('Cleaned Data'!$G253&gt;10,"High-Volume","Low-Volume")</f>
        <v>High-Volume</v>
      </c>
      <c r="O253" s="5" t="str">
        <f>IF('Cleaned Data'!$I253&gt;=100000,"Premium","Standard")</f>
        <v>Standard</v>
      </c>
      <c r="P253" s="56" t="str">
        <f>IF(Zen_Elite_Shoe_Sales[[#This Row],[Revenue]]&gt;=1000000,"Top Performer","Average Performer")</f>
        <v>Average Performer</v>
      </c>
    </row>
    <row r="254" spans="1:16" x14ac:dyDescent="0.35">
      <c r="A254" s="46">
        <v>46275</v>
      </c>
      <c r="B254" s="28" t="s">
        <v>34</v>
      </c>
      <c r="C254" s="28" t="s">
        <v>41</v>
      </c>
      <c r="D254" s="28" t="s">
        <v>26</v>
      </c>
      <c r="E254" s="28" t="s">
        <v>47</v>
      </c>
      <c r="F254" s="28" t="s">
        <v>56</v>
      </c>
      <c r="G254" s="6">
        <v>7</v>
      </c>
      <c r="H254" s="15">
        <v>101000</v>
      </c>
      <c r="I254" s="15">
        <v>102800</v>
      </c>
      <c r="J254" s="15">
        <f>PRODUCT('Cleaned Data'!$G254,'Cleaned Data'!$I254)</f>
        <v>719600</v>
      </c>
      <c r="K254" s="15">
        <f>PRODUCT('Cleaned Data'!$G254,'Cleaned Data'!$H254)</f>
        <v>707000</v>
      </c>
      <c r="L254" s="15">
        <f>('Cleaned Data'!$J254-'Cleaned Data'!$K254)</f>
        <v>12600</v>
      </c>
      <c r="M254" s="23">
        <f>('Cleaned Data'!$L254/'Cleaned Data'!$J254)</f>
        <v>1.7509727626459144E-2</v>
      </c>
      <c r="N254" s="5" t="str">
        <f>IF('Cleaned Data'!$G254&gt;10,"High-Volume","Low-Volume")</f>
        <v>Low-Volume</v>
      </c>
      <c r="O254" s="5" t="str">
        <f>IF('Cleaned Data'!$I254&gt;=100000,"Premium","Standard")</f>
        <v>Premium</v>
      </c>
      <c r="P254" s="56" t="str">
        <f>IF(Zen_Elite_Shoe_Sales[[#This Row],[Revenue]]&gt;=1000000,"Top Performer","Average Performer")</f>
        <v>Average Performer</v>
      </c>
    </row>
    <row r="255" spans="1:16" x14ac:dyDescent="0.35">
      <c r="A255" s="46">
        <v>46276</v>
      </c>
      <c r="B255" s="28" t="s">
        <v>64</v>
      </c>
      <c r="C255" s="28" t="s">
        <v>41</v>
      </c>
      <c r="D255" s="28" t="s">
        <v>31</v>
      </c>
      <c r="E255" s="28" t="s">
        <v>47</v>
      </c>
      <c r="F255" s="28" t="s">
        <v>60</v>
      </c>
      <c r="G255" s="6">
        <v>15</v>
      </c>
      <c r="H255" s="15">
        <v>104000</v>
      </c>
      <c r="I255" s="15">
        <v>105800</v>
      </c>
      <c r="J255" s="15">
        <f>PRODUCT('Cleaned Data'!$G255,'Cleaned Data'!$I255)</f>
        <v>1587000</v>
      </c>
      <c r="K255" s="15">
        <f>PRODUCT('Cleaned Data'!$G255,'Cleaned Data'!$H255)</f>
        <v>1560000</v>
      </c>
      <c r="L255" s="15">
        <f>('Cleaned Data'!$J255-'Cleaned Data'!$K255)</f>
        <v>27000</v>
      </c>
      <c r="M255" s="23">
        <f>('Cleaned Data'!$L255/'Cleaned Data'!$J255)</f>
        <v>1.7013232514177693E-2</v>
      </c>
      <c r="N255" s="5" t="str">
        <f>IF('Cleaned Data'!$G255&gt;10,"High-Volume","Low-Volume")</f>
        <v>High-Volume</v>
      </c>
      <c r="O255" s="5" t="str">
        <f>IF('Cleaned Data'!$I255&gt;=100000,"Premium","Standard")</f>
        <v>Premium</v>
      </c>
      <c r="P255" s="56" t="str">
        <f>IF(Zen_Elite_Shoe_Sales[[#This Row],[Revenue]]&gt;=1000000,"Top Performer","Average Performer")</f>
        <v>Top Performer</v>
      </c>
    </row>
    <row r="256" spans="1:16" x14ac:dyDescent="0.35">
      <c r="A256" s="46">
        <v>46277</v>
      </c>
      <c r="B256" s="28" t="s">
        <v>73</v>
      </c>
      <c r="C256" s="28" t="s">
        <v>30</v>
      </c>
      <c r="D256" s="28" t="s">
        <v>21</v>
      </c>
      <c r="E256" s="28" t="s">
        <v>27</v>
      </c>
      <c r="F256" s="28" t="s">
        <v>56</v>
      </c>
      <c r="G256" s="6">
        <v>4</v>
      </c>
      <c r="H256" s="15">
        <v>61000</v>
      </c>
      <c r="I256" s="15">
        <v>67500</v>
      </c>
      <c r="J256" s="15">
        <f>PRODUCT('Cleaned Data'!$G256,'Cleaned Data'!$I256)</f>
        <v>270000</v>
      </c>
      <c r="K256" s="15">
        <f>PRODUCT('Cleaned Data'!$G256,'Cleaned Data'!$H256)</f>
        <v>244000</v>
      </c>
      <c r="L256" s="15">
        <f>('Cleaned Data'!$J256-'Cleaned Data'!$K256)</f>
        <v>26000</v>
      </c>
      <c r="M256" s="23">
        <f>('Cleaned Data'!$L256/'Cleaned Data'!$J256)</f>
        <v>9.6296296296296297E-2</v>
      </c>
      <c r="N256" s="5" t="str">
        <f>IF('Cleaned Data'!$G256&gt;10,"High-Volume","Low-Volume")</f>
        <v>Low-Volume</v>
      </c>
      <c r="O256" s="5" t="str">
        <f>IF('Cleaned Data'!$I256&gt;=100000,"Premium","Standard")</f>
        <v>Standard</v>
      </c>
      <c r="P256" s="56" t="str">
        <f>IF(Zen_Elite_Shoe_Sales[[#This Row],[Revenue]]&gt;=1000000,"Top Performer","Average Performer")</f>
        <v>Average Performer</v>
      </c>
    </row>
    <row r="257" spans="1:16" x14ac:dyDescent="0.35">
      <c r="A257" s="46">
        <v>46278</v>
      </c>
      <c r="B257" s="28" t="s">
        <v>64</v>
      </c>
      <c r="C257" s="28" t="s">
        <v>41</v>
      </c>
      <c r="D257" s="28" t="s">
        <v>21</v>
      </c>
      <c r="E257" s="28" t="s">
        <v>71</v>
      </c>
      <c r="F257" s="28" t="s">
        <v>63</v>
      </c>
      <c r="G257" s="6">
        <v>4</v>
      </c>
      <c r="H257" s="15">
        <v>100000</v>
      </c>
      <c r="I257" s="15">
        <v>101800</v>
      </c>
      <c r="J257" s="15">
        <f>PRODUCT('Cleaned Data'!$G257,'Cleaned Data'!$I257)</f>
        <v>407200</v>
      </c>
      <c r="K257" s="15">
        <f>PRODUCT('Cleaned Data'!$G257,'Cleaned Data'!$H257)</f>
        <v>400000</v>
      </c>
      <c r="L257" s="15">
        <f>('Cleaned Data'!$J257-'Cleaned Data'!$K257)</f>
        <v>7200</v>
      </c>
      <c r="M257" s="23">
        <f>('Cleaned Data'!$L257/'Cleaned Data'!$J257)</f>
        <v>1.768172888015717E-2</v>
      </c>
      <c r="N257" s="5" t="str">
        <f>IF('Cleaned Data'!$G257&gt;10,"High-Volume","Low-Volume")</f>
        <v>Low-Volume</v>
      </c>
      <c r="O257" s="5" t="str">
        <f>IF('Cleaned Data'!$I257&gt;=100000,"Premium","Standard")</f>
        <v>Premium</v>
      </c>
      <c r="P257" s="56" t="str">
        <f>IF(Zen_Elite_Shoe_Sales[[#This Row],[Revenue]]&gt;=1000000,"Top Performer","Average Performer")</f>
        <v>Average Performer</v>
      </c>
    </row>
    <row r="258" spans="1:16" x14ac:dyDescent="0.35">
      <c r="A258" s="46">
        <v>46279</v>
      </c>
      <c r="B258" s="28" t="s">
        <v>73</v>
      </c>
      <c r="C258" s="28" t="s">
        <v>30</v>
      </c>
      <c r="D258" s="28" t="s">
        <v>11</v>
      </c>
      <c r="E258" s="28" t="s">
        <v>59</v>
      </c>
      <c r="F258" s="28" t="s">
        <v>52</v>
      </c>
      <c r="G258" s="6">
        <v>1</v>
      </c>
      <c r="H258" s="15">
        <v>74000</v>
      </c>
      <c r="I258" s="15">
        <v>77000</v>
      </c>
      <c r="J258" s="15">
        <f>PRODUCT('Cleaned Data'!$G258,'Cleaned Data'!$I258)</f>
        <v>77000</v>
      </c>
      <c r="K258" s="15">
        <f>PRODUCT('Cleaned Data'!$G258,'Cleaned Data'!$H258)</f>
        <v>74000</v>
      </c>
      <c r="L258" s="15">
        <f>('Cleaned Data'!$J258-'Cleaned Data'!$K258)</f>
        <v>3000</v>
      </c>
      <c r="M258" s="23">
        <f>('Cleaned Data'!$L258/'Cleaned Data'!$J258)</f>
        <v>3.896103896103896E-2</v>
      </c>
      <c r="N258" s="5" t="str">
        <f>IF('Cleaned Data'!$G258&gt;10,"High-Volume","Low-Volume")</f>
        <v>Low-Volume</v>
      </c>
      <c r="O258" s="5" t="str">
        <f>IF('Cleaned Data'!$I258&gt;=100000,"Premium","Standard")</f>
        <v>Standard</v>
      </c>
      <c r="P258" s="56" t="str">
        <f>IF(Zen_Elite_Shoe_Sales[[#This Row],[Revenue]]&gt;=1000000,"Top Performer","Average Performer")</f>
        <v>Average Performer</v>
      </c>
    </row>
    <row r="259" spans="1:16" x14ac:dyDescent="0.35">
      <c r="A259" s="46">
        <v>46280</v>
      </c>
      <c r="B259" s="28" t="s">
        <v>78</v>
      </c>
      <c r="C259" s="28" t="s">
        <v>41</v>
      </c>
      <c r="D259" s="28" t="s">
        <v>21</v>
      </c>
      <c r="E259" s="28" t="s">
        <v>27</v>
      </c>
      <c r="F259" s="28" t="s">
        <v>18</v>
      </c>
      <c r="G259" s="6">
        <v>12</v>
      </c>
      <c r="H259" s="15">
        <v>133000</v>
      </c>
      <c r="I259" s="15">
        <v>134800</v>
      </c>
      <c r="J259" s="15">
        <f>PRODUCT('Cleaned Data'!$G259,'Cleaned Data'!$I259)</f>
        <v>1617600</v>
      </c>
      <c r="K259" s="15">
        <f>PRODUCT('Cleaned Data'!$G259,'Cleaned Data'!$H259)</f>
        <v>1596000</v>
      </c>
      <c r="L259" s="15">
        <f>('Cleaned Data'!$J259-'Cleaned Data'!$K259)</f>
        <v>21600</v>
      </c>
      <c r="M259" s="23">
        <f>('Cleaned Data'!$L259/'Cleaned Data'!$J259)</f>
        <v>1.3353115727002967E-2</v>
      </c>
      <c r="N259" s="5" t="str">
        <f>IF('Cleaned Data'!$G259&gt;10,"High-Volume","Low-Volume")</f>
        <v>High-Volume</v>
      </c>
      <c r="O259" s="5" t="str">
        <f>IF('Cleaned Data'!$I259&gt;=100000,"Premium","Standard")</f>
        <v>Premium</v>
      </c>
      <c r="P259" s="56" t="str">
        <f>IF(Zen_Elite_Shoe_Sales[[#This Row],[Revenue]]&gt;=1000000,"Top Performer","Average Performer")</f>
        <v>Top Performer</v>
      </c>
    </row>
    <row r="260" spans="1:16" x14ac:dyDescent="0.35">
      <c r="A260" s="46">
        <v>46281</v>
      </c>
      <c r="B260" s="28" t="s">
        <v>53</v>
      </c>
      <c r="C260" s="28" t="s">
        <v>15</v>
      </c>
      <c r="D260" s="28" t="s">
        <v>26</v>
      </c>
      <c r="E260" s="28" t="s">
        <v>12</v>
      </c>
      <c r="F260" s="28" t="s">
        <v>63</v>
      </c>
      <c r="G260" s="6">
        <v>3</v>
      </c>
      <c r="H260" s="15">
        <v>65000</v>
      </c>
      <c r="I260" s="15">
        <v>71500</v>
      </c>
      <c r="J260" s="15">
        <f>PRODUCT('Cleaned Data'!$G260,'Cleaned Data'!$I260)</f>
        <v>214500</v>
      </c>
      <c r="K260" s="15">
        <f>PRODUCT('Cleaned Data'!$G260,'Cleaned Data'!$H260)</f>
        <v>195000</v>
      </c>
      <c r="L260" s="15">
        <f>('Cleaned Data'!$J260-'Cleaned Data'!$K260)</f>
        <v>19500</v>
      </c>
      <c r="M260" s="23">
        <f>('Cleaned Data'!$L260/'Cleaned Data'!$J260)</f>
        <v>9.0909090909090912E-2</v>
      </c>
      <c r="N260" s="5" t="str">
        <f>IF('Cleaned Data'!$G260&gt;10,"High-Volume","Low-Volume")</f>
        <v>Low-Volume</v>
      </c>
      <c r="O260" s="5" t="str">
        <f>IF('Cleaned Data'!$I260&gt;=100000,"Premium","Standard")</f>
        <v>Standard</v>
      </c>
      <c r="P260" s="56" t="str">
        <f>IF(Zen_Elite_Shoe_Sales[[#This Row],[Revenue]]&gt;=1000000,"Top Performer","Average Performer")</f>
        <v>Average Performer</v>
      </c>
    </row>
    <row r="261" spans="1:16" x14ac:dyDescent="0.35">
      <c r="A261" s="46">
        <v>46282</v>
      </c>
      <c r="B261" s="28" t="s">
        <v>78</v>
      </c>
      <c r="C261" s="28" t="s">
        <v>41</v>
      </c>
      <c r="D261" s="28" t="s">
        <v>16</v>
      </c>
      <c r="E261" s="28" t="s">
        <v>12</v>
      </c>
      <c r="F261" s="28" t="s">
        <v>23</v>
      </c>
      <c r="G261" s="6">
        <v>9</v>
      </c>
      <c r="H261" s="15">
        <v>112000</v>
      </c>
      <c r="I261" s="15">
        <v>113800</v>
      </c>
      <c r="J261" s="15">
        <f>PRODUCT('Cleaned Data'!$G261,'Cleaned Data'!$I261)</f>
        <v>1024200</v>
      </c>
      <c r="K261" s="15">
        <f>PRODUCT('Cleaned Data'!$G261,'Cleaned Data'!$H261)</f>
        <v>1008000</v>
      </c>
      <c r="L261" s="15">
        <f>('Cleaned Data'!$J261-'Cleaned Data'!$K261)</f>
        <v>16200</v>
      </c>
      <c r="M261" s="23">
        <f>('Cleaned Data'!$L261/'Cleaned Data'!$J261)</f>
        <v>1.5817223198594025E-2</v>
      </c>
      <c r="N261" s="5" t="str">
        <f>IF('Cleaned Data'!$G261&gt;10,"High-Volume","Low-Volume")</f>
        <v>Low-Volume</v>
      </c>
      <c r="O261" s="5" t="str">
        <f>IF('Cleaned Data'!$I261&gt;=100000,"Premium","Standard")</f>
        <v>Premium</v>
      </c>
      <c r="P261" s="56" t="str">
        <f>IF(Zen_Elite_Shoe_Sales[[#This Row],[Revenue]]&gt;=1000000,"Top Performer","Average Performer")</f>
        <v>Top Performer</v>
      </c>
    </row>
    <row r="262" spans="1:16" x14ac:dyDescent="0.35">
      <c r="A262" s="46">
        <v>46283</v>
      </c>
      <c r="B262" s="28" t="s">
        <v>78</v>
      </c>
      <c r="C262" s="28" t="s">
        <v>41</v>
      </c>
      <c r="D262" s="28" t="s">
        <v>21</v>
      </c>
      <c r="E262" s="28" t="s">
        <v>27</v>
      </c>
      <c r="F262" s="28" t="s">
        <v>18</v>
      </c>
      <c r="G262" s="6">
        <v>15</v>
      </c>
      <c r="H262" s="15">
        <v>136000</v>
      </c>
      <c r="I262" s="15">
        <v>137800</v>
      </c>
      <c r="J262" s="15">
        <f>PRODUCT('Cleaned Data'!$G262,'Cleaned Data'!$I262)</f>
        <v>2067000</v>
      </c>
      <c r="K262" s="15">
        <f>PRODUCT('Cleaned Data'!$G262,'Cleaned Data'!$H262)</f>
        <v>2040000</v>
      </c>
      <c r="L262" s="15">
        <f>('Cleaned Data'!$J262-'Cleaned Data'!$K262)</f>
        <v>27000</v>
      </c>
      <c r="M262" s="23">
        <f>('Cleaned Data'!$L262/'Cleaned Data'!$J262)</f>
        <v>1.3062409288824383E-2</v>
      </c>
      <c r="N262" s="5" t="str">
        <f>IF('Cleaned Data'!$G262&gt;10,"High-Volume","Low-Volume")</f>
        <v>High-Volume</v>
      </c>
      <c r="O262" s="5" t="str">
        <f>IF('Cleaned Data'!$I262&gt;=100000,"Premium","Standard")</f>
        <v>Premium</v>
      </c>
      <c r="P262" s="56" t="str">
        <f>IF(Zen_Elite_Shoe_Sales[[#This Row],[Revenue]]&gt;=1000000,"Top Performer","Average Performer")</f>
        <v>Top Performer</v>
      </c>
    </row>
    <row r="263" spans="1:16" x14ac:dyDescent="0.35">
      <c r="A263" s="46">
        <v>46284</v>
      </c>
      <c r="B263" s="28" t="s">
        <v>34</v>
      </c>
      <c r="C263" s="28" t="s">
        <v>41</v>
      </c>
      <c r="D263" s="28" t="s">
        <v>26</v>
      </c>
      <c r="E263" s="28" t="s">
        <v>59</v>
      </c>
      <c r="F263" s="28" t="s">
        <v>33</v>
      </c>
      <c r="G263" s="6">
        <v>7</v>
      </c>
      <c r="H263" s="15">
        <v>107000</v>
      </c>
      <c r="I263" s="15">
        <v>108800</v>
      </c>
      <c r="J263" s="15">
        <f>PRODUCT('Cleaned Data'!$G263,'Cleaned Data'!$I263)</f>
        <v>761600</v>
      </c>
      <c r="K263" s="15">
        <f>PRODUCT('Cleaned Data'!$G263,'Cleaned Data'!$H263)</f>
        <v>749000</v>
      </c>
      <c r="L263" s="15">
        <f>('Cleaned Data'!$J263-'Cleaned Data'!$K263)</f>
        <v>12600</v>
      </c>
      <c r="M263" s="23">
        <f>('Cleaned Data'!$L263/'Cleaned Data'!$J263)</f>
        <v>1.6544117647058824E-2</v>
      </c>
      <c r="N263" s="5" t="str">
        <f>IF('Cleaned Data'!$G263&gt;10,"High-Volume","Low-Volume")</f>
        <v>Low-Volume</v>
      </c>
      <c r="O263" s="5" t="str">
        <f>IF('Cleaned Data'!$I263&gt;=100000,"Premium","Standard")</f>
        <v>Premium</v>
      </c>
      <c r="P263" s="56" t="str">
        <f>IF(Zen_Elite_Shoe_Sales[[#This Row],[Revenue]]&gt;=1000000,"Top Performer","Average Performer")</f>
        <v>Average Performer</v>
      </c>
    </row>
    <row r="264" spans="1:16" x14ac:dyDescent="0.35">
      <c r="A264" s="46">
        <v>46285</v>
      </c>
      <c r="B264" s="28" t="s">
        <v>67</v>
      </c>
      <c r="C264" s="28" t="s">
        <v>15</v>
      </c>
      <c r="D264" s="28" t="s">
        <v>11</v>
      </c>
      <c r="E264" s="28" t="s">
        <v>47</v>
      </c>
      <c r="F264" s="28" t="s">
        <v>63</v>
      </c>
      <c r="G264" s="6">
        <v>9</v>
      </c>
      <c r="H264" s="15">
        <v>57000</v>
      </c>
      <c r="I264" s="15">
        <v>63000</v>
      </c>
      <c r="J264" s="15">
        <f>PRODUCT('Cleaned Data'!$G264,'Cleaned Data'!$I264)</f>
        <v>567000</v>
      </c>
      <c r="K264" s="15">
        <f>PRODUCT('Cleaned Data'!$G264,'Cleaned Data'!$H264)</f>
        <v>513000</v>
      </c>
      <c r="L264" s="15">
        <f>('Cleaned Data'!$J264-'Cleaned Data'!$K264)</f>
        <v>54000</v>
      </c>
      <c r="M264" s="23">
        <f>('Cleaned Data'!$L264/'Cleaned Data'!$J264)</f>
        <v>9.5238095238095233E-2</v>
      </c>
      <c r="N264" s="5" t="str">
        <f>IF('Cleaned Data'!$G264&gt;10,"High-Volume","Low-Volume")</f>
        <v>Low-Volume</v>
      </c>
      <c r="O264" s="5" t="str">
        <f>IF('Cleaned Data'!$I264&gt;=100000,"Premium","Standard")</f>
        <v>Standard</v>
      </c>
      <c r="P264" s="56" t="str">
        <f>IF(Zen_Elite_Shoe_Sales[[#This Row],[Revenue]]&gt;=1000000,"Top Performer","Average Performer")</f>
        <v>Average Performer</v>
      </c>
    </row>
    <row r="265" spans="1:16" x14ac:dyDescent="0.35">
      <c r="A265" s="46">
        <v>46286</v>
      </c>
      <c r="B265" s="28" t="s">
        <v>44</v>
      </c>
      <c r="C265" s="28" t="s">
        <v>41</v>
      </c>
      <c r="D265" s="28" t="s">
        <v>31</v>
      </c>
      <c r="E265" s="28" t="s">
        <v>47</v>
      </c>
      <c r="F265" s="28" t="s">
        <v>37</v>
      </c>
      <c r="G265" s="6">
        <v>11</v>
      </c>
      <c r="H265" s="15">
        <v>118000</v>
      </c>
      <c r="I265" s="15">
        <v>119800</v>
      </c>
      <c r="J265" s="15">
        <f>PRODUCT('Cleaned Data'!$G265,'Cleaned Data'!$I265)</f>
        <v>1317800</v>
      </c>
      <c r="K265" s="15">
        <f>PRODUCT('Cleaned Data'!$G265,'Cleaned Data'!$H265)</f>
        <v>1298000</v>
      </c>
      <c r="L265" s="15">
        <f>('Cleaned Data'!$J265-'Cleaned Data'!$K265)</f>
        <v>19800</v>
      </c>
      <c r="M265" s="23">
        <f>('Cleaned Data'!$L265/'Cleaned Data'!$J265)</f>
        <v>1.5025041736227046E-2</v>
      </c>
      <c r="N265" s="5" t="str">
        <f>IF('Cleaned Data'!$G265&gt;10,"High-Volume","Low-Volume")</f>
        <v>High-Volume</v>
      </c>
      <c r="O265" s="5" t="str">
        <f>IF('Cleaned Data'!$I265&gt;=100000,"Premium","Standard")</f>
        <v>Premium</v>
      </c>
      <c r="P265" s="56" t="str">
        <f>IF(Zen_Elite_Shoe_Sales[[#This Row],[Revenue]]&gt;=1000000,"Top Performer","Average Performer")</f>
        <v>Top Performer</v>
      </c>
    </row>
    <row r="266" spans="1:16" x14ac:dyDescent="0.35">
      <c r="A266" s="46">
        <v>46287</v>
      </c>
      <c r="B266" s="28" t="s">
        <v>64</v>
      </c>
      <c r="C266" s="28" t="s">
        <v>41</v>
      </c>
      <c r="D266" s="28" t="s">
        <v>26</v>
      </c>
      <c r="E266" s="28" t="s">
        <v>71</v>
      </c>
      <c r="F266" s="28" t="s">
        <v>37</v>
      </c>
      <c r="G266" s="6">
        <v>2</v>
      </c>
      <c r="H266" s="15">
        <v>85000</v>
      </c>
      <c r="I266" s="15">
        <v>86800</v>
      </c>
      <c r="J266" s="15">
        <f>PRODUCT('Cleaned Data'!$G266,'Cleaned Data'!$I266)</f>
        <v>173600</v>
      </c>
      <c r="K266" s="15">
        <f>PRODUCT('Cleaned Data'!$G266,'Cleaned Data'!$H266)</f>
        <v>170000</v>
      </c>
      <c r="L266" s="15">
        <f>('Cleaned Data'!$J266-'Cleaned Data'!$K266)</f>
        <v>3600</v>
      </c>
      <c r="M266" s="23">
        <f>('Cleaned Data'!$L266/'Cleaned Data'!$J266)</f>
        <v>2.0737327188940093E-2</v>
      </c>
      <c r="N266" s="5" t="str">
        <f>IF('Cleaned Data'!$G266&gt;10,"High-Volume","Low-Volume")</f>
        <v>Low-Volume</v>
      </c>
      <c r="O266" s="5" t="str">
        <f>IF('Cleaned Data'!$I266&gt;=100000,"Premium","Standard")</f>
        <v>Standard</v>
      </c>
      <c r="P266" s="56" t="str">
        <f>IF(Zen_Elite_Shoe_Sales[[#This Row],[Revenue]]&gt;=1000000,"Top Performer","Average Performer")</f>
        <v>Average Performer</v>
      </c>
    </row>
    <row r="267" spans="1:16" x14ac:dyDescent="0.35">
      <c r="A267" s="46">
        <v>46288</v>
      </c>
      <c r="B267" s="28" t="s">
        <v>53</v>
      </c>
      <c r="C267" s="28" t="s">
        <v>15</v>
      </c>
      <c r="D267" s="28" t="s">
        <v>31</v>
      </c>
      <c r="E267" s="28" t="s">
        <v>59</v>
      </c>
      <c r="F267" s="28" t="s">
        <v>18</v>
      </c>
      <c r="G267" s="6">
        <v>11</v>
      </c>
      <c r="H267" s="15">
        <v>66000</v>
      </c>
      <c r="I267" s="15">
        <v>72500</v>
      </c>
      <c r="J267" s="15">
        <f>PRODUCT('Cleaned Data'!$G267,'Cleaned Data'!$I267)</f>
        <v>797500</v>
      </c>
      <c r="K267" s="15">
        <f>PRODUCT('Cleaned Data'!$G267,'Cleaned Data'!$H267)</f>
        <v>726000</v>
      </c>
      <c r="L267" s="15">
        <f>('Cleaned Data'!$J267-'Cleaned Data'!$K267)</f>
        <v>71500</v>
      </c>
      <c r="M267" s="23">
        <f>('Cleaned Data'!$L267/'Cleaned Data'!$J267)</f>
        <v>8.9655172413793102E-2</v>
      </c>
      <c r="N267" s="5" t="str">
        <f>IF('Cleaned Data'!$G267&gt;10,"High-Volume","Low-Volume")</f>
        <v>High-Volume</v>
      </c>
      <c r="O267" s="5" t="str">
        <f>IF('Cleaned Data'!$I267&gt;=100000,"Premium","Standard")</f>
        <v>Standard</v>
      </c>
      <c r="P267" s="56" t="str">
        <f>IF(Zen_Elite_Shoe_Sales[[#This Row],[Revenue]]&gt;=1000000,"Top Performer","Average Performer")</f>
        <v>Average Performer</v>
      </c>
    </row>
    <row r="268" spans="1:16" x14ac:dyDescent="0.35">
      <c r="A268" s="46">
        <v>46289</v>
      </c>
      <c r="B268" s="28" t="s">
        <v>67</v>
      </c>
      <c r="C268" s="28" t="s">
        <v>15</v>
      </c>
      <c r="D268" s="28" t="s">
        <v>26</v>
      </c>
      <c r="E268" s="28" t="s">
        <v>27</v>
      </c>
      <c r="F268" s="28" t="s">
        <v>18</v>
      </c>
      <c r="G268" s="6">
        <v>2</v>
      </c>
      <c r="H268" s="15">
        <v>64000</v>
      </c>
      <c r="I268" s="15">
        <v>70500</v>
      </c>
      <c r="J268" s="15">
        <f>PRODUCT('Cleaned Data'!$G268,'Cleaned Data'!$I268)</f>
        <v>141000</v>
      </c>
      <c r="K268" s="15">
        <f>PRODUCT('Cleaned Data'!$G268,'Cleaned Data'!$H268)</f>
        <v>128000</v>
      </c>
      <c r="L268" s="15">
        <f>('Cleaned Data'!$J268-'Cleaned Data'!$K268)</f>
        <v>13000</v>
      </c>
      <c r="M268" s="23">
        <f>('Cleaned Data'!$L268/'Cleaned Data'!$J268)</f>
        <v>9.2198581560283682E-2</v>
      </c>
      <c r="N268" s="5" t="str">
        <f>IF('Cleaned Data'!$G268&gt;10,"High-Volume","Low-Volume")</f>
        <v>Low-Volume</v>
      </c>
      <c r="O268" s="5" t="str">
        <f>IF('Cleaned Data'!$I268&gt;=100000,"Premium","Standard")</f>
        <v>Standard</v>
      </c>
      <c r="P268" s="56" t="str">
        <f>IF(Zen_Elite_Shoe_Sales[[#This Row],[Revenue]]&gt;=1000000,"Top Performer","Average Performer")</f>
        <v>Average Performer</v>
      </c>
    </row>
    <row r="269" spans="1:16" x14ac:dyDescent="0.35">
      <c r="A269" s="46">
        <v>46290</v>
      </c>
      <c r="B269" s="28" t="s">
        <v>53</v>
      </c>
      <c r="C269" s="28" t="s">
        <v>15</v>
      </c>
      <c r="D269" s="28" t="s">
        <v>16</v>
      </c>
      <c r="E269" s="28" t="s">
        <v>12</v>
      </c>
      <c r="F269" s="28" t="s">
        <v>18</v>
      </c>
      <c r="G269" s="6">
        <v>9</v>
      </c>
      <c r="H269" s="15">
        <v>61000</v>
      </c>
      <c r="I269" s="15">
        <v>67500</v>
      </c>
      <c r="J269" s="15">
        <f>PRODUCT('Cleaned Data'!$G269,'Cleaned Data'!$I269)</f>
        <v>607500</v>
      </c>
      <c r="K269" s="15">
        <f>PRODUCT('Cleaned Data'!$G269,'Cleaned Data'!$H269)</f>
        <v>549000</v>
      </c>
      <c r="L269" s="15">
        <f>('Cleaned Data'!$J269-'Cleaned Data'!$K269)</f>
        <v>58500</v>
      </c>
      <c r="M269" s="23">
        <f>('Cleaned Data'!$L269/'Cleaned Data'!$J269)</f>
        <v>9.6296296296296297E-2</v>
      </c>
      <c r="N269" s="5" t="str">
        <f>IF('Cleaned Data'!$G269&gt;10,"High-Volume","Low-Volume")</f>
        <v>Low-Volume</v>
      </c>
      <c r="O269" s="5" t="str">
        <f>IF('Cleaned Data'!$I269&gt;=100000,"Premium","Standard")</f>
        <v>Standard</v>
      </c>
      <c r="P269" s="56" t="str">
        <f>IF(Zen_Elite_Shoe_Sales[[#This Row],[Revenue]]&gt;=1000000,"Top Performer","Average Performer")</f>
        <v>Average Performer</v>
      </c>
    </row>
    <row r="270" spans="1:16" x14ac:dyDescent="0.35">
      <c r="A270" s="46">
        <v>46291</v>
      </c>
      <c r="B270" s="28" t="s">
        <v>44</v>
      </c>
      <c r="C270" s="28" t="s">
        <v>41</v>
      </c>
      <c r="D270" s="28" t="s">
        <v>11</v>
      </c>
      <c r="E270" s="28" t="s">
        <v>71</v>
      </c>
      <c r="F270" s="28" t="s">
        <v>39</v>
      </c>
      <c r="G270" s="6">
        <v>1</v>
      </c>
      <c r="H270" s="15">
        <v>137000</v>
      </c>
      <c r="I270" s="15">
        <v>138800</v>
      </c>
      <c r="J270" s="15">
        <f>PRODUCT('Cleaned Data'!$G270,'Cleaned Data'!$I270)</f>
        <v>138800</v>
      </c>
      <c r="K270" s="15">
        <f>PRODUCT('Cleaned Data'!$G270,'Cleaned Data'!$H270)</f>
        <v>137000</v>
      </c>
      <c r="L270" s="15">
        <f>('Cleaned Data'!$J270-'Cleaned Data'!$K270)</f>
        <v>1800</v>
      </c>
      <c r="M270" s="23">
        <f>('Cleaned Data'!$L270/'Cleaned Data'!$J270)</f>
        <v>1.2968299711815562E-2</v>
      </c>
      <c r="N270" s="5" t="str">
        <f>IF('Cleaned Data'!$G270&gt;10,"High-Volume","Low-Volume")</f>
        <v>Low-Volume</v>
      </c>
      <c r="O270" s="5" t="str">
        <f>IF('Cleaned Data'!$I270&gt;=100000,"Premium","Standard")</f>
        <v>Premium</v>
      </c>
      <c r="P270" s="56" t="str">
        <f>IF(Zen_Elite_Shoe_Sales[[#This Row],[Revenue]]&gt;=1000000,"Top Performer","Average Performer")</f>
        <v>Average Performer</v>
      </c>
    </row>
    <row r="271" spans="1:16" x14ac:dyDescent="0.35">
      <c r="A271" s="46">
        <v>46292</v>
      </c>
      <c r="B271" s="28" t="s">
        <v>78</v>
      </c>
      <c r="C271" s="28" t="s">
        <v>41</v>
      </c>
      <c r="D271" s="28" t="s">
        <v>11</v>
      </c>
      <c r="E271" s="28" t="s">
        <v>27</v>
      </c>
      <c r="F271" s="28" t="s">
        <v>56</v>
      </c>
      <c r="G271" s="6">
        <v>2</v>
      </c>
      <c r="H271" s="15">
        <v>99000</v>
      </c>
      <c r="I271" s="15">
        <v>100800</v>
      </c>
      <c r="J271" s="15">
        <f>PRODUCT('Cleaned Data'!$G271,'Cleaned Data'!$I271)</f>
        <v>201600</v>
      </c>
      <c r="K271" s="15">
        <f>PRODUCT('Cleaned Data'!$G271,'Cleaned Data'!$H271)</f>
        <v>198000</v>
      </c>
      <c r="L271" s="15">
        <f>('Cleaned Data'!$J271-'Cleaned Data'!$K271)</f>
        <v>3600</v>
      </c>
      <c r="M271" s="23">
        <f>('Cleaned Data'!$L271/'Cleaned Data'!$J271)</f>
        <v>1.7857142857142856E-2</v>
      </c>
      <c r="N271" s="5" t="str">
        <f>IF('Cleaned Data'!$G271&gt;10,"High-Volume","Low-Volume")</f>
        <v>Low-Volume</v>
      </c>
      <c r="O271" s="5" t="str">
        <f>IF('Cleaned Data'!$I271&gt;=100000,"Premium","Standard")</f>
        <v>Premium</v>
      </c>
      <c r="P271" s="56" t="str">
        <f>IF(Zen_Elite_Shoe_Sales[[#This Row],[Revenue]]&gt;=1000000,"Top Performer","Average Performer")</f>
        <v>Average Performer</v>
      </c>
    </row>
    <row r="272" spans="1:16" x14ac:dyDescent="0.35">
      <c r="A272" s="46">
        <v>46293</v>
      </c>
      <c r="B272" s="28" t="s">
        <v>53</v>
      </c>
      <c r="C272" s="28" t="s">
        <v>15</v>
      </c>
      <c r="D272" s="28" t="s">
        <v>16</v>
      </c>
      <c r="E272" s="28" t="s">
        <v>71</v>
      </c>
      <c r="F272" s="28" t="s">
        <v>23</v>
      </c>
      <c r="G272" s="6">
        <v>4</v>
      </c>
      <c r="H272" s="15">
        <v>67000</v>
      </c>
      <c r="I272" s="15">
        <v>73500</v>
      </c>
      <c r="J272" s="15">
        <f>PRODUCT('Cleaned Data'!$G272,'Cleaned Data'!$I272)</f>
        <v>294000</v>
      </c>
      <c r="K272" s="15">
        <f>PRODUCT('Cleaned Data'!$G272,'Cleaned Data'!$H272)</f>
        <v>268000</v>
      </c>
      <c r="L272" s="15">
        <f>('Cleaned Data'!$J272-'Cleaned Data'!$K272)</f>
        <v>26000</v>
      </c>
      <c r="M272" s="23">
        <f>('Cleaned Data'!$L272/'Cleaned Data'!$J272)</f>
        <v>8.8435374149659865E-2</v>
      </c>
      <c r="N272" s="5" t="str">
        <f>IF('Cleaned Data'!$G272&gt;10,"High-Volume","Low-Volume")</f>
        <v>Low-Volume</v>
      </c>
      <c r="O272" s="5" t="str">
        <f>IF('Cleaned Data'!$I272&gt;=100000,"Premium","Standard")</f>
        <v>Standard</v>
      </c>
      <c r="P272" s="56" t="str">
        <f>IF(Zen_Elite_Shoe_Sales[[#This Row],[Revenue]]&gt;=1000000,"Top Performer","Average Performer")</f>
        <v>Average Performer</v>
      </c>
    </row>
    <row r="273" spans="1:16" x14ac:dyDescent="0.35">
      <c r="A273" s="46">
        <v>46294</v>
      </c>
      <c r="B273" s="28" t="s">
        <v>19</v>
      </c>
      <c r="C273" s="28" t="s">
        <v>50</v>
      </c>
      <c r="D273" s="28" t="s">
        <v>26</v>
      </c>
      <c r="E273" s="28" t="s">
        <v>27</v>
      </c>
      <c r="F273" s="28" t="s">
        <v>48</v>
      </c>
      <c r="G273" s="6">
        <v>13</v>
      </c>
      <c r="H273" s="15">
        <v>50000</v>
      </c>
      <c r="I273" s="15">
        <v>55000</v>
      </c>
      <c r="J273" s="15">
        <f>PRODUCT('Cleaned Data'!$G273,'Cleaned Data'!$I273)</f>
        <v>715000</v>
      </c>
      <c r="K273" s="15">
        <f>PRODUCT('Cleaned Data'!$G273,'Cleaned Data'!$H273)</f>
        <v>650000</v>
      </c>
      <c r="L273" s="15">
        <f>('Cleaned Data'!$J273-'Cleaned Data'!$K273)</f>
        <v>65000</v>
      </c>
      <c r="M273" s="23">
        <f>('Cleaned Data'!$L273/'Cleaned Data'!$J273)</f>
        <v>9.0909090909090912E-2</v>
      </c>
      <c r="N273" s="5" t="str">
        <f>IF('Cleaned Data'!$G273&gt;10,"High-Volume","Low-Volume")</f>
        <v>High-Volume</v>
      </c>
      <c r="O273" s="5" t="str">
        <f>IF('Cleaned Data'!$I273&gt;=100000,"Premium","Standard")</f>
        <v>Standard</v>
      </c>
      <c r="P273" s="56" t="str">
        <f>IF(Zen_Elite_Shoe_Sales[[#This Row],[Revenue]]&gt;=1000000,"Top Performer","Average Performer")</f>
        <v>Average Performer</v>
      </c>
    </row>
    <row r="274" spans="1:16" x14ac:dyDescent="0.35">
      <c r="A274" s="46">
        <v>46295</v>
      </c>
      <c r="B274" s="28" t="s">
        <v>34</v>
      </c>
      <c r="C274" s="28" t="s">
        <v>41</v>
      </c>
      <c r="D274" s="28" t="s">
        <v>31</v>
      </c>
      <c r="E274" s="28" t="s">
        <v>47</v>
      </c>
      <c r="F274" s="28" t="s">
        <v>28</v>
      </c>
      <c r="G274" s="6">
        <v>13</v>
      </c>
      <c r="H274" s="15">
        <v>121000</v>
      </c>
      <c r="I274" s="15">
        <v>122800</v>
      </c>
      <c r="J274" s="15">
        <f>PRODUCT('Cleaned Data'!$G274,'Cleaned Data'!$I274)</f>
        <v>1596400</v>
      </c>
      <c r="K274" s="15">
        <f>PRODUCT('Cleaned Data'!$G274,'Cleaned Data'!$H274)</f>
        <v>1573000</v>
      </c>
      <c r="L274" s="15">
        <f>('Cleaned Data'!$J274-'Cleaned Data'!$K274)</f>
        <v>23400</v>
      </c>
      <c r="M274" s="23">
        <f>('Cleaned Data'!$L274/'Cleaned Data'!$J274)</f>
        <v>1.4657980456026058E-2</v>
      </c>
      <c r="N274" s="5" t="str">
        <f>IF('Cleaned Data'!$G274&gt;10,"High-Volume","Low-Volume")</f>
        <v>High-Volume</v>
      </c>
      <c r="O274" s="5" t="str">
        <f>IF('Cleaned Data'!$I274&gt;=100000,"Premium","Standard")</f>
        <v>Premium</v>
      </c>
      <c r="P274" s="56" t="str">
        <f>IF(Zen_Elite_Shoe_Sales[[#This Row],[Revenue]]&gt;=1000000,"Top Performer","Average Performer")</f>
        <v>Top Performer</v>
      </c>
    </row>
    <row r="275" spans="1:16" x14ac:dyDescent="0.35">
      <c r="A275" s="46">
        <v>46296</v>
      </c>
      <c r="B275" s="28" t="s">
        <v>53</v>
      </c>
      <c r="C275" s="28" t="s">
        <v>15</v>
      </c>
      <c r="D275" s="28" t="s">
        <v>16</v>
      </c>
      <c r="E275" s="28" t="s">
        <v>71</v>
      </c>
      <c r="F275" s="28" t="s">
        <v>60</v>
      </c>
      <c r="G275" s="6">
        <v>13</v>
      </c>
      <c r="H275" s="15">
        <v>70000</v>
      </c>
      <c r="I275" s="15">
        <v>76500</v>
      </c>
      <c r="J275" s="15">
        <f>PRODUCT('Cleaned Data'!$G275,'Cleaned Data'!$I275)</f>
        <v>994500</v>
      </c>
      <c r="K275" s="15">
        <f>PRODUCT('Cleaned Data'!$G275,'Cleaned Data'!$H275)</f>
        <v>910000</v>
      </c>
      <c r="L275" s="15">
        <f>('Cleaned Data'!$J275-'Cleaned Data'!$K275)</f>
        <v>84500</v>
      </c>
      <c r="M275" s="23">
        <f>('Cleaned Data'!$L275/'Cleaned Data'!$J275)</f>
        <v>8.4967320261437912E-2</v>
      </c>
      <c r="N275" s="5" t="str">
        <f>IF('Cleaned Data'!$G275&gt;10,"High-Volume","Low-Volume")</f>
        <v>High-Volume</v>
      </c>
      <c r="O275" s="5" t="str">
        <f>IF('Cleaned Data'!$I275&gt;=100000,"Premium","Standard")</f>
        <v>Standard</v>
      </c>
      <c r="P275" s="56" t="str">
        <f>IF(Zen_Elite_Shoe_Sales[[#This Row],[Revenue]]&gt;=1000000,"Top Performer","Average Performer")</f>
        <v>Average Performer</v>
      </c>
    </row>
    <row r="276" spans="1:16" x14ac:dyDescent="0.35">
      <c r="A276" s="46">
        <v>46297</v>
      </c>
      <c r="B276" s="28" t="s">
        <v>73</v>
      </c>
      <c r="C276" s="28" t="s">
        <v>30</v>
      </c>
      <c r="D276" s="28" t="s">
        <v>16</v>
      </c>
      <c r="E276" s="28" t="s">
        <v>47</v>
      </c>
      <c r="F276" s="28" t="s">
        <v>39</v>
      </c>
      <c r="G276" s="6">
        <v>5</v>
      </c>
      <c r="H276" s="15">
        <v>61000</v>
      </c>
      <c r="I276" s="15">
        <v>67500</v>
      </c>
      <c r="J276" s="15">
        <f>PRODUCT('Cleaned Data'!$G276,'Cleaned Data'!$I276)</f>
        <v>337500</v>
      </c>
      <c r="K276" s="15">
        <f>PRODUCT('Cleaned Data'!$G276,'Cleaned Data'!$H276)</f>
        <v>305000</v>
      </c>
      <c r="L276" s="15">
        <f>('Cleaned Data'!$J276-'Cleaned Data'!$K276)</f>
        <v>32500</v>
      </c>
      <c r="M276" s="23">
        <f>('Cleaned Data'!$L276/'Cleaned Data'!$J276)</f>
        <v>9.6296296296296297E-2</v>
      </c>
      <c r="N276" s="5" t="str">
        <f>IF('Cleaned Data'!$G276&gt;10,"High-Volume","Low-Volume")</f>
        <v>Low-Volume</v>
      </c>
      <c r="O276" s="5" t="str">
        <f>IF('Cleaned Data'!$I276&gt;=100000,"Premium","Standard")</f>
        <v>Standard</v>
      </c>
      <c r="P276" s="56" t="str">
        <f>IF(Zen_Elite_Shoe_Sales[[#This Row],[Revenue]]&gt;=1000000,"Top Performer","Average Performer")</f>
        <v>Average Performer</v>
      </c>
    </row>
    <row r="277" spans="1:16" x14ac:dyDescent="0.35">
      <c r="A277" s="46">
        <v>46298</v>
      </c>
      <c r="B277" s="28" t="s">
        <v>67</v>
      </c>
      <c r="C277" s="28" t="s">
        <v>15</v>
      </c>
      <c r="D277" s="28" t="s">
        <v>21</v>
      </c>
      <c r="E277" s="28" t="s">
        <v>27</v>
      </c>
      <c r="F277" s="28" t="s">
        <v>60</v>
      </c>
      <c r="G277" s="6">
        <v>4</v>
      </c>
      <c r="H277" s="15">
        <v>54000</v>
      </c>
      <c r="I277" s="15">
        <v>60000</v>
      </c>
      <c r="J277" s="15">
        <f>PRODUCT('Cleaned Data'!$G277,'Cleaned Data'!$I277)</f>
        <v>240000</v>
      </c>
      <c r="K277" s="15">
        <f>PRODUCT('Cleaned Data'!$G277,'Cleaned Data'!$H277)</f>
        <v>216000</v>
      </c>
      <c r="L277" s="15">
        <f>('Cleaned Data'!$J277-'Cleaned Data'!$K277)</f>
        <v>24000</v>
      </c>
      <c r="M277" s="23">
        <f>('Cleaned Data'!$L277/'Cleaned Data'!$J277)</f>
        <v>0.1</v>
      </c>
      <c r="N277" s="5" t="str">
        <f>IF('Cleaned Data'!$G277&gt;10,"High-Volume","Low-Volume")</f>
        <v>Low-Volume</v>
      </c>
      <c r="O277" s="5" t="str">
        <f>IF('Cleaned Data'!$I277&gt;=100000,"Premium","Standard")</f>
        <v>Standard</v>
      </c>
      <c r="P277" s="56" t="str">
        <f>IF(Zen_Elite_Shoe_Sales[[#This Row],[Revenue]]&gt;=1000000,"Top Performer","Average Performer")</f>
        <v>Average Performer</v>
      </c>
    </row>
    <row r="278" spans="1:16" x14ac:dyDescent="0.35">
      <c r="A278" s="46">
        <v>46299</v>
      </c>
      <c r="B278" s="28" t="s">
        <v>73</v>
      </c>
      <c r="C278" s="28" t="s">
        <v>30</v>
      </c>
      <c r="D278" s="28" t="s">
        <v>31</v>
      </c>
      <c r="E278" s="28" t="s">
        <v>59</v>
      </c>
      <c r="F278" s="28" t="s">
        <v>52</v>
      </c>
      <c r="G278" s="6">
        <v>5</v>
      </c>
      <c r="H278" s="15">
        <v>56000</v>
      </c>
      <c r="I278" s="15">
        <v>62000</v>
      </c>
      <c r="J278" s="15">
        <f>PRODUCT('Cleaned Data'!$G278,'Cleaned Data'!$I278)</f>
        <v>310000</v>
      </c>
      <c r="K278" s="15">
        <f>PRODUCT('Cleaned Data'!$G278,'Cleaned Data'!$H278)</f>
        <v>280000</v>
      </c>
      <c r="L278" s="15">
        <f>('Cleaned Data'!$J278-'Cleaned Data'!$K278)</f>
        <v>30000</v>
      </c>
      <c r="M278" s="23">
        <f>('Cleaned Data'!$L278/'Cleaned Data'!$J278)</f>
        <v>9.6774193548387094E-2</v>
      </c>
      <c r="N278" s="5" t="str">
        <f>IF('Cleaned Data'!$G278&gt;10,"High-Volume","Low-Volume")</f>
        <v>Low-Volume</v>
      </c>
      <c r="O278" s="5" t="str">
        <f>IF('Cleaned Data'!$I278&gt;=100000,"Premium","Standard")</f>
        <v>Standard</v>
      </c>
      <c r="P278" s="56" t="str">
        <f>IF(Zen_Elite_Shoe_Sales[[#This Row],[Revenue]]&gt;=1000000,"Top Performer","Average Performer")</f>
        <v>Average Performer</v>
      </c>
    </row>
    <row r="279" spans="1:16" x14ac:dyDescent="0.35">
      <c r="A279" s="46">
        <v>46300</v>
      </c>
      <c r="B279" s="28" t="s">
        <v>64</v>
      </c>
      <c r="C279" s="28" t="s">
        <v>41</v>
      </c>
      <c r="D279" s="28" t="s">
        <v>26</v>
      </c>
      <c r="E279" s="28" t="s">
        <v>59</v>
      </c>
      <c r="F279" s="28" t="s">
        <v>48</v>
      </c>
      <c r="G279" s="6">
        <v>2</v>
      </c>
      <c r="H279" s="15">
        <v>95000</v>
      </c>
      <c r="I279" s="15">
        <v>96800</v>
      </c>
      <c r="J279" s="15">
        <f>PRODUCT('Cleaned Data'!$G279,'Cleaned Data'!$I279)</f>
        <v>193600</v>
      </c>
      <c r="K279" s="15">
        <f>PRODUCT('Cleaned Data'!$G279,'Cleaned Data'!$H279)</f>
        <v>190000</v>
      </c>
      <c r="L279" s="15">
        <f>('Cleaned Data'!$J279-'Cleaned Data'!$K279)</f>
        <v>3600</v>
      </c>
      <c r="M279" s="23">
        <f>('Cleaned Data'!$L279/'Cleaned Data'!$J279)</f>
        <v>1.859504132231405E-2</v>
      </c>
      <c r="N279" s="5" t="str">
        <f>IF('Cleaned Data'!$G279&gt;10,"High-Volume","Low-Volume")</f>
        <v>Low-Volume</v>
      </c>
      <c r="O279" s="5" t="str">
        <f>IF('Cleaned Data'!$I279&gt;=100000,"Premium","Standard")</f>
        <v>Standard</v>
      </c>
      <c r="P279" s="56" t="str">
        <f>IF(Zen_Elite_Shoe_Sales[[#This Row],[Revenue]]&gt;=1000000,"Top Performer","Average Performer")</f>
        <v>Average Performer</v>
      </c>
    </row>
    <row r="280" spans="1:16" x14ac:dyDescent="0.35">
      <c r="A280" s="46">
        <v>46301</v>
      </c>
      <c r="B280" s="28" t="s">
        <v>67</v>
      </c>
      <c r="C280" s="28" t="s">
        <v>15</v>
      </c>
      <c r="D280" s="28" t="s">
        <v>31</v>
      </c>
      <c r="E280" s="28" t="s">
        <v>71</v>
      </c>
      <c r="F280" s="28" t="s">
        <v>56</v>
      </c>
      <c r="G280" s="6">
        <v>5</v>
      </c>
      <c r="H280" s="15">
        <v>64000</v>
      </c>
      <c r="I280" s="15">
        <v>70500</v>
      </c>
      <c r="J280" s="15">
        <f>PRODUCT('Cleaned Data'!$G280,'Cleaned Data'!$I280)</f>
        <v>352500</v>
      </c>
      <c r="K280" s="15">
        <f>PRODUCT('Cleaned Data'!$G280,'Cleaned Data'!$H280)</f>
        <v>320000</v>
      </c>
      <c r="L280" s="15">
        <f>('Cleaned Data'!$J280-'Cleaned Data'!$K280)</f>
        <v>32500</v>
      </c>
      <c r="M280" s="23">
        <f>('Cleaned Data'!$L280/'Cleaned Data'!$J280)</f>
        <v>9.2198581560283682E-2</v>
      </c>
      <c r="N280" s="5" t="str">
        <f>IF('Cleaned Data'!$G280&gt;10,"High-Volume","Low-Volume")</f>
        <v>Low-Volume</v>
      </c>
      <c r="O280" s="5" t="str">
        <f>IF('Cleaned Data'!$I280&gt;=100000,"Premium","Standard")</f>
        <v>Standard</v>
      </c>
      <c r="P280" s="56" t="str">
        <f>IF(Zen_Elite_Shoe_Sales[[#This Row],[Revenue]]&gt;=1000000,"Top Performer","Average Performer")</f>
        <v>Average Performer</v>
      </c>
    </row>
    <row r="281" spans="1:16" x14ac:dyDescent="0.35">
      <c r="A281" s="47">
        <v>46302</v>
      </c>
      <c r="B281" s="29" t="s">
        <v>64</v>
      </c>
      <c r="C281" s="29" t="s">
        <v>41</v>
      </c>
      <c r="D281" s="29" t="s">
        <v>16</v>
      </c>
      <c r="E281" s="29" t="s">
        <v>12</v>
      </c>
      <c r="F281" s="29" t="s">
        <v>33</v>
      </c>
      <c r="G281" s="10">
        <v>15</v>
      </c>
      <c r="H281" s="16">
        <v>112000</v>
      </c>
      <c r="I281" s="16">
        <v>113800</v>
      </c>
      <c r="J281" s="16">
        <f>PRODUCT('Cleaned Data'!$G281,'Cleaned Data'!$I281)</f>
        <v>1707000</v>
      </c>
      <c r="K281" s="16">
        <f>PRODUCT('Cleaned Data'!$G281,'Cleaned Data'!$H281)</f>
        <v>1680000</v>
      </c>
      <c r="L281" s="16">
        <f>('Cleaned Data'!$J281-'Cleaned Data'!$K281)</f>
        <v>27000</v>
      </c>
      <c r="M281" s="24">
        <f>('Cleaned Data'!$L281/'Cleaned Data'!$J281)</f>
        <v>1.5817223198594025E-2</v>
      </c>
      <c r="N281" s="9" t="str">
        <f>IF('Cleaned Data'!$G281&gt;10,"High-Volume","Low-Volume")</f>
        <v>High-Volume</v>
      </c>
      <c r="O281" s="9" t="str">
        <f>IF('Cleaned Data'!$I281&gt;=100000,"Premium","Standard")</f>
        <v>Premium</v>
      </c>
      <c r="P281" s="56" t="str">
        <f>IF(Zen_Elite_Shoe_Sales[[#This Row],[Revenue]]&gt;=1000000,"Top Performer","Average Performer")</f>
        <v>Top Performer</v>
      </c>
    </row>
    <row r="282" spans="1:16" x14ac:dyDescent="0.35">
      <c r="A282" s="46">
        <v>46303</v>
      </c>
      <c r="B282" s="28" t="s">
        <v>19</v>
      </c>
      <c r="C282" s="28" t="s">
        <v>50</v>
      </c>
      <c r="D282" s="28" t="s">
        <v>31</v>
      </c>
      <c r="E282" s="28" t="s">
        <v>59</v>
      </c>
      <c r="F282" s="28" t="s">
        <v>56</v>
      </c>
      <c r="G282" s="6">
        <v>2</v>
      </c>
      <c r="H282" s="15">
        <v>43000</v>
      </c>
      <c r="I282" s="15">
        <v>48000</v>
      </c>
      <c r="J282" s="15">
        <f>PRODUCT('Cleaned Data'!$G282,'Cleaned Data'!$I282)</f>
        <v>96000</v>
      </c>
      <c r="K282" s="15">
        <f>PRODUCT('Cleaned Data'!$G282,'Cleaned Data'!$H282)</f>
        <v>86000</v>
      </c>
      <c r="L282" s="15">
        <f>('Cleaned Data'!$J282-'Cleaned Data'!$K282)</f>
        <v>10000</v>
      </c>
      <c r="M282" s="23">
        <f>('Cleaned Data'!$L282/'Cleaned Data'!$J282)</f>
        <v>0.10416666666666667</v>
      </c>
      <c r="N282" s="5" t="str">
        <f>IF('Cleaned Data'!$G282&gt;10,"High-Volume","Low-Volume")</f>
        <v>Low-Volume</v>
      </c>
      <c r="O282" s="5" t="str">
        <f>IF('Cleaned Data'!$I282&gt;=100000,"Premium","Standard")</f>
        <v>Standard</v>
      </c>
      <c r="P282" s="56" t="str">
        <f>IF(Zen_Elite_Shoe_Sales[[#This Row],[Revenue]]&gt;=1000000,"Top Performer","Average Performer")</f>
        <v>Average Performer</v>
      </c>
    </row>
    <row r="283" spans="1:16" x14ac:dyDescent="0.35">
      <c r="A283" s="47">
        <v>46304</v>
      </c>
      <c r="B283" s="29" t="s">
        <v>19</v>
      </c>
      <c r="C283" s="29" t="s">
        <v>50</v>
      </c>
      <c r="D283" s="29" t="s">
        <v>31</v>
      </c>
      <c r="E283" s="29" t="s">
        <v>12</v>
      </c>
      <c r="F283" s="29" t="s">
        <v>39</v>
      </c>
      <c r="G283" s="10">
        <v>10</v>
      </c>
      <c r="H283" s="16">
        <v>51000</v>
      </c>
      <c r="I283" s="16">
        <v>57000</v>
      </c>
      <c r="J283" s="16">
        <f>PRODUCT('Cleaned Data'!$G283,'Cleaned Data'!$I283)</f>
        <v>570000</v>
      </c>
      <c r="K283" s="16">
        <f>PRODUCT('Cleaned Data'!$G283,'Cleaned Data'!$H283)</f>
        <v>510000</v>
      </c>
      <c r="L283" s="16">
        <f>('Cleaned Data'!$J283-'Cleaned Data'!$K283)</f>
        <v>60000</v>
      </c>
      <c r="M283" s="24">
        <f>('Cleaned Data'!$L283/'Cleaned Data'!$J283)</f>
        <v>0.10526315789473684</v>
      </c>
      <c r="N283" s="9" t="str">
        <f>IF('Cleaned Data'!$G283&gt;10,"High-Volume","Low-Volume")</f>
        <v>Low-Volume</v>
      </c>
      <c r="O283" s="9" t="str">
        <f>IF('Cleaned Data'!$I283&gt;=100000,"Premium","Standard")</f>
        <v>Standard</v>
      </c>
      <c r="P283" s="56" t="str">
        <f>IF(Zen_Elite_Shoe_Sales[[#This Row],[Revenue]]&gt;=1000000,"Top Performer","Average Performer")</f>
        <v>Average Performer</v>
      </c>
    </row>
    <row r="284" spans="1:16" x14ac:dyDescent="0.35">
      <c r="A284" s="46">
        <v>46305</v>
      </c>
      <c r="B284" s="28" t="s">
        <v>73</v>
      </c>
      <c r="C284" s="28" t="s">
        <v>30</v>
      </c>
      <c r="D284" s="28" t="s">
        <v>16</v>
      </c>
      <c r="E284" s="28" t="s">
        <v>27</v>
      </c>
      <c r="F284" s="28" t="s">
        <v>13</v>
      </c>
      <c r="G284" s="6">
        <v>11</v>
      </c>
      <c r="H284" s="15">
        <v>73000</v>
      </c>
      <c r="I284" s="15">
        <v>76000</v>
      </c>
      <c r="J284" s="15">
        <f>PRODUCT('Cleaned Data'!$G284,'Cleaned Data'!$I284)</f>
        <v>836000</v>
      </c>
      <c r="K284" s="15">
        <f>PRODUCT('Cleaned Data'!$G284,'Cleaned Data'!$H284)</f>
        <v>803000</v>
      </c>
      <c r="L284" s="15">
        <f>('Cleaned Data'!$J284-'Cleaned Data'!$K284)</f>
        <v>33000</v>
      </c>
      <c r="M284" s="23">
        <f>('Cleaned Data'!$L284/'Cleaned Data'!$J284)</f>
        <v>3.9473684210526314E-2</v>
      </c>
      <c r="N284" s="5" t="str">
        <f>IF('Cleaned Data'!$G284&gt;10,"High-Volume","Low-Volume")</f>
        <v>High-Volume</v>
      </c>
      <c r="O284" s="5" t="str">
        <f>IF('Cleaned Data'!$I284&gt;=100000,"Premium","Standard")</f>
        <v>Standard</v>
      </c>
      <c r="P284" s="56" t="str">
        <f>IF(Zen_Elite_Shoe_Sales[[#This Row],[Revenue]]&gt;=1000000,"Top Performer","Average Performer")</f>
        <v>Average Performer</v>
      </c>
    </row>
    <row r="285" spans="1:16" x14ac:dyDescent="0.35">
      <c r="A285" s="47">
        <v>46306</v>
      </c>
      <c r="B285" s="29" t="s">
        <v>53</v>
      </c>
      <c r="C285" s="29" t="s">
        <v>15</v>
      </c>
      <c r="D285" s="29" t="s">
        <v>11</v>
      </c>
      <c r="E285" s="29" t="s">
        <v>71</v>
      </c>
      <c r="F285" s="29" t="s">
        <v>48</v>
      </c>
      <c r="G285" s="10">
        <v>10</v>
      </c>
      <c r="H285" s="16">
        <v>72000</v>
      </c>
      <c r="I285" s="16">
        <v>75000</v>
      </c>
      <c r="J285" s="16">
        <f>PRODUCT('Cleaned Data'!$G285,'Cleaned Data'!$I285)</f>
        <v>750000</v>
      </c>
      <c r="K285" s="16">
        <f>PRODUCT('Cleaned Data'!$G285,'Cleaned Data'!$H285)</f>
        <v>720000</v>
      </c>
      <c r="L285" s="16">
        <f>('Cleaned Data'!$J285-'Cleaned Data'!$K285)</f>
        <v>30000</v>
      </c>
      <c r="M285" s="24">
        <f>('Cleaned Data'!$L285/'Cleaned Data'!$J285)</f>
        <v>0.04</v>
      </c>
      <c r="N285" s="9" t="str">
        <f>IF('Cleaned Data'!$G285&gt;10,"High-Volume","Low-Volume")</f>
        <v>Low-Volume</v>
      </c>
      <c r="O285" s="9" t="str">
        <f>IF('Cleaned Data'!$I285&gt;=100000,"Premium","Standard")</f>
        <v>Standard</v>
      </c>
      <c r="P285" s="56" t="str">
        <f>IF(Zen_Elite_Shoe_Sales[[#This Row],[Revenue]]&gt;=1000000,"Top Performer","Average Performer")</f>
        <v>Average Performer</v>
      </c>
    </row>
    <row r="286" spans="1:16" x14ac:dyDescent="0.35">
      <c r="A286" s="46">
        <v>46307</v>
      </c>
      <c r="B286" s="28" t="s">
        <v>34</v>
      </c>
      <c r="C286" s="28" t="s">
        <v>41</v>
      </c>
      <c r="D286" s="28" t="s">
        <v>16</v>
      </c>
      <c r="E286" s="28" t="s">
        <v>12</v>
      </c>
      <c r="F286" s="28" t="s">
        <v>48</v>
      </c>
      <c r="G286" s="6">
        <v>6</v>
      </c>
      <c r="H286" s="15">
        <v>102000</v>
      </c>
      <c r="I286" s="15">
        <v>103800</v>
      </c>
      <c r="J286" s="15">
        <f>PRODUCT('Cleaned Data'!$G286,'Cleaned Data'!$I286)</f>
        <v>622800</v>
      </c>
      <c r="K286" s="15">
        <f>PRODUCT('Cleaned Data'!$G286,'Cleaned Data'!$H286)</f>
        <v>612000</v>
      </c>
      <c r="L286" s="15">
        <f>('Cleaned Data'!$J286-'Cleaned Data'!$K286)</f>
        <v>10800</v>
      </c>
      <c r="M286" s="23">
        <f>('Cleaned Data'!$L286/'Cleaned Data'!$J286)</f>
        <v>1.7341040462427744E-2</v>
      </c>
      <c r="N286" s="5" t="str">
        <f>IF('Cleaned Data'!$G286&gt;10,"High-Volume","Low-Volume")</f>
        <v>Low-Volume</v>
      </c>
      <c r="O286" s="5" t="str">
        <f>IF('Cleaned Data'!$I286&gt;=100000,"Premium","Standard")</f>
        <v>Premium</v>
      </c>
      <c r="P286" s="56" t="str">
        <f>IF(Zen_Elite_Shoe_Sales[[#This Row],[Revenue]]&gt;=1000000,"Top Performer","Average Performer")</f>
        <v>Average Performer</v>
      </c>
    </row>
    <row r="287" spans="1:16" x14ac:dyDescent="0.35">
      <c r="A287" s="47">
        <v>46308</v>
      </c>
      <c r="B287" s="29" t="s">
        <v>44</v>
      </c>
      <c r="C287" s="29" t="s">
        <v>41</v>
      </c>
      <c r="D287" s="29" t="s">
        <v>21</v>
      </c>
      <c r="E287" s="29" t="s">
        <v>12</v>
      </c>
      <c r="F287" s="29" t="s">
        <v>48</v>
      </c>
      <c r="G287" s="10">
        <v>1</v>
      </c>
      <c r="H287" s="16">
        <v>127000</v>
      </c>
      <c r="I287" s="16">
        <v>128800</v>
      </c>
      <c r="J287" s="16">
        <f>PRODUCT('Cleaned Data'!$G287,'Cleaned Data'!$I287)</f>
        <v>128800</v>
      </c>
      <c r="K287" s="16">
        <f>PRODUCT('Cleaned Data'!$G287,'Cleaned Data'!$H287)</f>
        <v>127000</v>
      </c>
      <c r="L287" s="16">
        <f>('Cleaned Data'!$J287-'Cleaned Data'!$K287)</f>
        <v>1800</v>
      </c>
      <c r="M287" s="24">
        <f>('Cleaned Data'!$L287/'Cleaned Data'!$J287)</f>
        <v>1.3975155279503106E-2</v>
      </c>
      <c r="N287" s="9" t="str">
        <f>IF('Cleaned Data'!$G287&gt;10,"High-Volume","Low-Volume")</f>
        <v>Low-Volume</v>
      </c>
      <c r="O287" s="9" t="str">
        <f>IF('Cleaned Data'!$I287&gt;=100000,"Premium","Standard")</f>
        <v>Premium</v>
      </c>
      <c r="P287" s="56" t="str">
        <f>IF(Zen_Elite_Shoe_Sales[[#This Row],[Revenue]]&gt;=1000000,"Top Performer","Average Performer")</f>
        <v>Average Performer</v>
      </c>
    </row>
    <row r="288" spans="1:16" x14ac:dyDescent="0.35">
      <c r="A288" s="46">
        <v>46309</v>
      </c>
      <c r="B288" s="28" t="s">
        <v>73</v>
      </c>
      <c r="C288" s="28" t="s">
        <v>30</v>
      </c>
      <c r="D288" s="28" t="s">
        <v>31</v>
      </c>
      <c r="E288" s="28" t="s">
        <v>27</v>
      </c>
      <c r="F288" s="28" t="s">
        <v>45</v>
      </c>
      <c r="G288" s="6">
        <v>5</v>
      </c>
      <c r="H288" s="15">
        <v>66000</v>
      </c>
      <c r="I288" s="15">
        <v>72500</v>
      </c>
      <c r="J288" s="15">
        <f>PRODUCT('Cleaned Data'!$G288,'Cleaned Data'!$I288)</f>
        <v>362500</v>
      </c>
      <c r="K288" s="15">
        <f>PRODUCT('Cleaned Data'!$G288,'Cleaned Data'!$H288)</f>
        <v>330000</v>
      </c>
      <c r="L288" s="15">
        <f>('Cleaned Data'!$J288-'Cleaned Data'!$K288)</f>
        <v>32500</v>
      </c>
      <c r="M288" s="23">
        <f>('Cleaned Data'!$L288/'Cleaned Data'!$J288)</f>
        <v>8.9655172413793102E-2</v>
      </c>
      <c r="N288" s="5" t="str">
        <f>IF('Cleaned Data'!$G288&gt;10,"High-Volume","Low-Volume")</f>
        <v>Low-Volume</v>
      </c>
      <c r="O288" s="5" t="str">
        <f>IF('Cleaned Data'!$I288&gt;=100000,"Premium","Standard")</f>
        <v>Standard</v>
      </c>
      <c r="P288" s="56" t="str">
        <f>IF(Zen_Elite_Shoe_Sales[[#This Row],[Revenue]]&gt;=1000000,"Top Performer","Average Performer")</f>
        <v>Average Performer</v>
      </c>
    </row>
    <row r="289" spans="1:16" x14ac:dyDescent="0.35">
      <c r="A289" s="47">
        <v>46310</v>
      </c>
      <c r="B289" s="29" t="s">
        <v>44</v>
      </c>
      <c r="C289" s="29" t="s">
        <v>41</v>
      </c>
      <c r="D289" s="29" t="s">
        <v>21</v>
      </c>
      <c r="E289" s="29" t="s">
        <v>27</v>
      </c>
      <c r="F289" s="29" t="s">
        <v>52</v>
      </c>
      <c r="G289" s="10">
        <v>3</v>
      </c>
      <c r="H289" s="16">
        <v>113000</v>
      </c>
      <c r="I289" s="16">
        <v>114800</v>
      </c>
      <c r="J289" s="16">
        <f>PRODUCT('Cleaned Data'!$G289,'Cleaned Data'!$I289)</f>
        <v>344400</v>
      </c>
      <c r="K289" s="16">
        <f>PRODUCT('Cleaned Data'!$G289,'Cleaned Data'!$H289)</f>
        <v>339000</v>
      </c>
      <c r="L289" s="16">
        <f>('Cleaned Data'!$J289-'Cleaned Data'!$K289)</f>
        <v>5400</v>
      </c>
      <c r="M289" s="24">
        <f>('Cleaned Data'!$L289/'Cleaned Data'!$J289)</f>
        <v>1.5679442508710801E-2</v>
      </c>
      <c r="N289" s="9" t="str">
        <f>IF('Cleaned Data'!$G289&gt;10,"High-Volume","Low-Volume")</f>
        <v>Low-Volume</v>
      </c>
      <c r="O289" s="9" t="str">
        <f>IF('Cleaned Data'!$I289&gt;=100000,"Premium","Standard")</f>
        <v>Premium</v>
      </c>
      <c r="P289" s="56" t="str">
        <f>IF(Zen_Elite_Shoe_Sales[[#This Row],[Revenue]]&gt;=1000000,"Top Performer","Average Performer")</f>
        <v>Average Performer</v>
      </c>
    </row>
    <row r="290" spans="1:16" x14ac:dyDescent="0.35">
      <c r="A290" s="46">
        <v>46311</v>
      </c>
      <c r="B290" s="28" t="s">
        <v>73</v>
      </c>
      <c r="C290" s="28" t="s">
        <v>30</v>
      </c>
      <c r="D290" s="28" t="s">
        <v>21</v>
      </c>
      <c r="E290" s="28" t="s">
        <v>27</v>
      </c>
      <c r="F290" s="28" t="s">
        <v>52</v>
      </c>
      <c r="G290" s="6">
        <v>12</v>
      </c>
      <c r="H290" s="15">
        <v>61000</v>
      </c>
      <c r="I290" s="15">
        <v>67500</v>
      </c>
      <c r="J290" s="15">
        <f>PRODUCT('Cleaned Data'!$G290,'Cleaned Data'!$I290)</f>
        <v>810000</v>
      </c>
      <c r="K290" s="15">
        <f>PRODUCT('Cleaned Data'!$G290,'Cleaned Data'!$H290)</f>
        <v>732000</v>
      </c>
      <c r="L290" s="15">
        <f>('Cleaned Data'!$J290-'Cleaned Data'!$K290)</f>
        <v>78000</v>
      </c>
      <c r="M290" s="23">
        <f>('Cleaned Data'!$L290/'Cleaned Data'!$J290)</f>
        <v>9.6296296296296297E-2</v>
      </c>
      <c r="N290" s="5" t="str">
        <f>IF('Cleaned Data'!$G290&gt;10,"High-Volume","Low-Volume")</f>
        <v>High-Volume</v>
      </c>
      <c r="O290" s="5" t="str">
        <f>IF('Cleaned Data'!$I290&gt;=100000,"Premium","Standard")</f>
        <v>Standard</v>
      </c>
      <c r="P290" s="56" t="str">
        <f>IF(Zen_Elite_Shoe_Sales[[#This Row],[Revenue]]&gt;=1000000,"Top Performer","Average Performer")</f>
        <v>Average Performer</v>
      </c>
    </row>
    <row r="291" spans="1:16" x14ac:dyDescent="0.35">
      <c r="A291" s="47">
        <v>46312</v>
      </c>
      <c r="B291" s="29" t="s">
        <v>53</v>
      </c>
      <c r="C291" s="29" t="s">
        <v>15</v>
      </c>
      <c r="D291" s="29" t="s">
        <v>11</v>
      </c>
      <c r="E291" s="29" t="s">
        <v>12</v>
      </c>
      <c r="F291" s="29" t="s">
        <v>45</v>
      </c>
      <c r="G291" s="10">
        <v>13</v>
      </c>
      <c r="H291" s="16">
        <v>58000</v>
      </c>
      <c r="I291" s="16">
        <v>64000</v>
      </c>
      <c r="J291" s="16">
        <f>PRODUCT('Cleaned Data'!$G291,'Cleaned Data'!$I291)</f>
        <v>832000</v>
      </c>
      <c r="K291" s="16">
        <f>PRODUCT('Cleaned Data'!$G291,'Cleaned Data'!$H291)</f>
        <v>754000</v>
      </c>
      <c r="L291" s="16">
        <f>('Cleaned Data'!$J291-'Cleaned Data'!$K291)</f>
        <v>78000</v>
      </c>
      <c r="M291" s="24">
        <f>('Cleaned Data'!$L291/'Cleaned Data'!$J291)</f>
        <v>9.375E-2</v>
      </c>
      <c r="N291" s="9" t="str">
        <f>IF('Cleaned Data'!$G291&gt;10,"High-Volume","Low-Volume")</f>
        <v>High-Volume</v>
      </c>
      <c r="O291" s="9" t="str">
        <f>IF('Cleaned Data'!$I291&gt;=100000,"Premium","Standard")</f>
        <v>Standard</v>
      </c>
      <c r="P291" s="56" t="str">
        <f>IF(Zen_Elite_Shoe_Sales[[#This Row],[Revenue]]&gt;=1000000,"Top Performer","Average Performer")</f>
        <v>Average Performer</v>
      </c>
    </row>
    <row r="292" spans="1:16" x14ac:dyDescent="0.35">
      <c r="A292" s="46">
        <v>46313</v>
      </c>
      <c r="B292" s="28" t="s">
        <v>78</v>
      </c>
      <c r="C292" s="28" t="s">
        <v>41</v>
      </c>
      <c r="D292" s="28" t="s">
        <v>11</v>
      </c>
      <c r="E292" s="28" t="s">
        <v>59</v>
      </c>
      <c r="F292" s="28" t="s">
        <v>23</v>
      </c>
      <c r="G292" s="6">
        <v>6</v>
      </c>
      <c r="H292" s="15">
        <v>105000</v>
      </c>
      <c r="I292" s="15">
        <v>106800</v>
      </c>
      <c r="J292" s="15">
        <f>PRODUCT('Cleaned Data'!$G292,'Cleaned Data'!$I292)</f>
        <v>640800</v>
      </c>
      <c r="K292" s="15">
        <f>PRODUCT('Cleaned Data'!$G292,'Cleaned Data'!$H292)</f>
        <v>630000</v>
      </c>
      <c r="L292" s="15">
        <f>('Cleaned Data'!$J292-'Cleaned Data'!$K292)</f>
        <v>10800</v>
      </c>
      <c r="M292" s="23">
        <f>('Cleaned Data'!$L292/'Cleaned Data'!$J292)</f>
        <v>1.6853932584269662E-2</v>
      </c>
      <c r="N292" s="5" t="str">
        <f>IF('Cleaned Data'!$G292&gt;10,"High-Volume","Low-Volume")</f>
        <v>Low-Volume</v>
      </c>
      <c r="O292" s="5" t="str">
        <f>IF('Cleaned Data'!$I292&gt;=100000,"Premium","Standard")</f>
        <v>Premium</v>
      </c>
      <c r="P292" s="56" t="str">
        <f>IF(Zen_Elite_Shoe_Sales[[#This Row],[Revenue]]&gt;=1000000,"Top Performer","Average Performer")</f>
        <v>Average Performer</v>
      </c>
    </row>
    <row r="293" spans="1:16" x14ac:dyDescent="0.35">
      <c r="A293" s="47">
        <v>46314</v>
      </c>
      <c r="B293" s="29" t="s">
        <v>64</v>
      </c>
      <c r="C293" s="29" t="s">
        <v>41</v>
      </c>
      <c r="D293" s="29" t="s">
        <v>21</v>
      </c>
      <c r="E293" s="29" t="s">
        <v>12</v>
      </c>
      <c r="F293" s="29" t="s">
        <v>23</v>
      </c>
      <c r="G293" s="10">
        <v>2</v>
      </c>
      <c r="H293" s="16">
        <v>92000</v>
      </c>
      <c r="I293" s="16">
        <v>93800</v>
      </c>
      <c r="J293" s="16">
        <f>PRODUCT('Cleaned Data'!$G293,'Cleaned Data'!$I293)</f>
        <v>187600</v>
      </c>
      <c r="K293" s="16">
        <f>PRODUCT('Cleaned Data'!$G293,'Cleaned Data'!$H293)</f>
        <v>184000</v>
      </c>
      <c r="L293" s="16">
        <f>('Cleaned Data'!$J293-'Cleaned Data'!$K293)</f>
        <v>3600</v>
      </c>
      <c r="M293" s="24">
        <f>('Cleaned Data'!$L293/'Cleaned Data'!$J293)</f>
        <v>1.9189765458422176E-2</v>
      </c>
      <c r="N293" s="9" t="str">
        <f>IF('Cleaned Data'!$G293&gt;10,"High-Volume","Low-Volume")</f>
        <v>Low-Volume</v>
      </c>
      <c r="O293" s="9" t="str">
        <f>IF('Cleaned Data'!$I293&gt;=100000,"Premium","Standard")</f>
        <v>Standard</v>
      </c>
      <c r="P293" s="56" t="str">
        <f>IF(Zen_Elite_Shoe_Sales[[#This Row],[Revenue]]&gt;=1000000,"Top Performer","Average Performer")</f>
        <v>Average Performer</v>
      </c>
    </row>
    <row r="294" spans="1:16" x14ac:dyDescent="0.35">
      <c r="A294" s="46">
        <v>46315</v>
      </c>
      <c r="B294" s="28" t="s">
        <v>19</v>
      </c>
      <c r="C294" s="28" t="s">
        <v>50</v>
      </c>
      <c r="D294" s="28" t="s">
        <v>11</v>
      </c>
      <c r="E294" s="28" t="s">
        <v>71</v>
      </c>
      <c r="F294" s="28" t="s">
        <v>23</v>
      </c>
      <c r="G294" s="6">
        <v>3</v>
      </c>
      <c r="H294" s="15">
        <v>41000</v>
      </c>
      <c r="I294" s="15">
        <v>46000</v>
      </c>
      <c r="J294" s="15">
        <f>PRODUCT('Cleaned Data'!$G294,'Cleaned Data'!$I294)</f>
        <v>138000</v>
      </c>
      <c r="K294" s="15">
        <f>PRODUCT('Cleaned Data'!$G294,'Cleaned Data'!$H294)</f>
        <v>123000</v>
      </c>
      <c r="L294" s="15">
        <f>('Cleaned Data'!$J294-'Cleaned Data'!$K294)</f>
        <v>15000</v>
      </c>
      <c r="M294" s="23">
        <f>('Cleaned Data'!$L294/'Cleaned Data'!$J294)</f>
        <v>0.10869565217391304</v>
      </c>
      <c r="N294" s="5" t="str">
        <f>IF('Cleaned Data'!$G294&gt;10,"High-Volume","Low-Volume")</f>
        <v>Low-Volume</v>
      </c>
      <c r="O294" s="5" t="str">
        <f>IF('Cleaned Data'!$I294&gt;=100000,"Premium","Standard")</f>
        <v>Standard</v>
      </c>
      <c r="P294" s="56" t="str">
        <f>IF(Zen_Elite_Shoe_Sales[[#This Row],[Revenue]]&gt;=1000000,"Top Performer","Average Performer")</f>
        <v>Average Performer</v>
      </c>
    </row>
    <row r="295" spans="1:16" x14ac:dyDescent="0.35">
      <c r="A295" s="47">
        <v>46316</v>
      </c>
      <c r="B295" s="29" t="s">
        <v>44</v>
      </c>
      <c r="C295" s="29" t="s">
        <v>41</v>
      </c>
      <c r="D295" s="29" t="s">
        <v>26</v>
      </c>
      <c r="E295" s="29" t="s">
        <v>27</v>
      </c>
      <c r="F295" s="29" t="s">
        <v>45</v>
      </c>
      <c r="G295" s="10">
        <v>1</v>
      </c>
      <c r="H295" s="16">
        <v>121000</v>
      </c>
      <c r="I295" s="16">
        <v>122800</v>
      </c>
      <c r="J295" s="16">
        <f>PRODUCT('Cleaned Data'!$G295,'Cleaned Data'!$I295)</f>
        <v>122800</v>
      </c>
      <c r="K295" s="16">
        <f>PRODUCT('Cleaned Data'!$G295,'Cleaned Data'!$H295)</f>
        <v>121000</v>
      </c>
      <c r="L295" s="16">
        <f>('Cleaned Data'!$J295-'Cleaned Data'!$K295)</f>
        <v>1800</v>
      </c>
      <c r="M295" s="24">
        <f>('Cleaned Data'!$L295/'Cleaned Data'!$J295)</f>
        <v>1.4657980456026058E-2</v>
      </c>
      <c r="N295" s="9" t="str">
        <f>IF('Cleaned Data'!$G295&gt;10,"High-Volume","Low-Volume")</f>
        <v>Low-Volume</v>
      </c>
      <c r="O295" s="9" t="str">
        <f>IF('Cleaned Data'!$I295&gt;=100000,"Premium","Standard")</f>
        <v>Premium</v>
      </c>
      <c r="P295" s="56" t="str">
        <f>IF(Zen_Elite_Shoe_Sales[[#This Row],[Revenue]]&gt;=1000000,"Top Performer","Average Performer")</f>
        <v>Average Performer</v>
      </c>
    </row>
    <row r="296" spans="1:16" x14ac:dyDescent="0.35">
      <c r="A296" s="46">
        <v>46317</v>
      </c>
      <c r="B296" s="28" t="s">
        <v>64</v>
      </c>
      <c r="C296" s="28" t="s">
        <v>41</v>
      </c>
      <c r="D296" s="28" t="s">
        <v>11</v>
      </c>
      <c r="E296" s="28" t="s">
        <v>47</v>
      </c>
      <c r="F296" s="28" t="s">
        <v>37</v>
      </c>
      <c r="G296" s="6">
        <v>3</v>
      </c>
      <c r="H296" s="15">
        <v>114000</v>
      </c>
      <c r="I296" s="15">
        <v>115800</v>
      </c>
      <c r="J296" s="15">
        <f>PRODUCT('Cleaned Data'!$G296,'Cleaned Data'!$I296)</f>
        <v>347400</v>
      </c>
      <c r="K296" s="15">
        <f>PRODUCT('Cleaned Data'!$G296,'Cleaned Data'!$H296)</f>
        <v>342000</v>
      </c>
      <c r="L296" s="15">
        <f>('Cleaned Data'!$J296-'Cleaned Data'!$K296)</f>
        <v>5400</v>
      </c>
      <c r="M296" s="23">
        <f>('Cleaned Data'!$L296/'Cleaned Data'!$J296)</f>
        <v>1.5544041450777202E-2</v>
      </c>
      <c r="N296" s="5" t="str">
        <f>IF('Cleaned Data'!$G296&gt;10,"High-Volume","Low-Volume")</f>
        <v>Low-Volume</v>
      </c>
      <c r="O296" s="5" t="str">
        <f>IF('Cleaned Data'!$I296&gt;=100000,"Premium","Standard")</f>
        <v>Premium</v>
      </c>
      <c r="P296" s="56" t="str">
        <f>IF(Zen_Elite_Shoe_Sales[[#This Row],[Revenue]]&gt;=1000000,"Top Performer","Average Performer")</f>
        <v>Average Performer</v>
      </c>
    </row>
    <row r="297" spans="1:16" x14ac:dyDescent="0.35">
      <c r="A297" s="47">
        <v>46318</v>
      </c>
      <c r="B297" s="29" t="s">
        <v>44</v>
      </c>
      <c r="C297" s="29" t="s">
        <v>41</v>
      </c>
      <c r="D297" s="29" t="s">
        <v>26</v>
      </c>
      <c r="E297" s="29" t="s">
        <v>59</v>
      </c>
      <c r="F297" s="29" t="s">
        <v>63</v>
      </c>
      <c r="G297" s="10">
        <v>1</v>
      </c>
      <c r="H297" s="16">
        <v>121000</v>
      </c>
      <c r="I297" s="16">
        <v>122800</v>
      </c>
      <c r="J297" s="16">
        <f>PRODUCT('Cleaned Data'!$G297,'Cleaned Data'!$I297)</f>
        <v>122800</v>
      </c>
      <c r="K297" s="16">
        <f>PRODUCT('Cleaned Data'!$G297,'Cleaned Data'!$H297)</f>
        <v>121000</v>
      </c>
      <c r="L297" s="16">
        <f>('Cleaned Data'!$J297-'Cleaned Data'!$K297)</f>
        <v>1800</v>
      </c>
      <c r="M297" s="24">
        <f>('Cleaned Data'!$L297/'Cleaned Data'!$J297)</f>
        <v>1.4657980456026058E-2</v>
      </c>
      <c r="N297" s="9" t="str">
        <f>IF('Cleaned Data'!$G297&gt;10,"High-Volume","Low-Volume")</f>
        <v>Low-Volume</v>
      </c>
      <c r="O297" s="9" t="str">
        <f>IF('Cleaned Data'!$I297&gt;=100000,"Premium","Standard")</f>
        <v>Premium</v>
      </c>
      <c r="P297" s="56" t="str">
        <f>IF(Zen_Elite_Shoe_Sales[[#This Row],[Revenue]]&gt;=1000000,"Top Performer","Average Performer")</f>
        <v>Average Performer</v>
      </c>
    </row>
    <row r="298" spans="1:16" x14ac:dyDescent="0.35">
      <c r="A298" s="46">
        <v>46319</v>
      </c>
      <c r="B298" s="28" t="s">
        <v>34</v>
      </c>
      <c r="C298" s="28" t="s">
        <v>41</v>
      </c>
      <c r="D298" s="28" t="s">
        <v>26</v>
      </c>
      <c r="E298" s="28" t="s">
        <v>12</v>
      </c>
      <c r="F298" s="28" t="s">
        <v>37</v>
      </c>
      <c r="G298" s="6">
        <v>6</v>
      </c>
      <c r="H298" s="15">
        <v>115000</v>
      </c>
      <c r="I298" s="15">
        <v>116800</v>
      </c>
      <c r="J298" s="15">
        <f>PRODUCT('Cleaned Data'!$G298,'Cleaned Data'!$I298)</f>
        <v>700800</v>
      </c>
      <c r="K298" s="15">
        <f>PRODUCT('Cleaned Data'!$G298,'Cleaned Data'!$H298)</f>
        <v>690000</v>
      </c>
      <c r="L298" s="15">
        <f>('Cleaned Data'!$J298-'Cleaned Data'!$K298)</f>
        <v>10800</v>
      </c>
      <c r="M298" s="23">
        <f>('Cleaned Data'!$L298/'Cleaned Data'!$J298)</f>
        <v>1.5410958904109588E-2</v>
      </c>
      <c r="N298" s="5" t="str">
        <f>IF('Cleaned Data'!$G298&gt;10,"High-Volume","Low-Volume")</f>
        <v>Low-Volume</v>
      </c>
      <c r="O298" s="5" t="str">
        <f>IF('Cleaned Data'!$I298&gt;=100000,"Premium","Standard")</f>
        <v>Premium</v>
      </c>
      <c r="P298" s="56" t="str">
        <f>IF(Zen_Elite_Shoe_Sales[[#This Row],[Revenue]]&gt;=1000000,"Top Performer","Average Performer")</f>
        <v>Average Performer</v>
      </c>
    </row>
    <row r="299" spans="1:16" x14ac:dyDescent="0.35">
      <c r="A299" s="47">
        <v>46320</v>
      </c>
      <c r="B299" s="29" t="s">
        <v>67</v>
      </c>
      <c r="C299" s="29" t="s">
        <v>15</v>
      </c>
      <c r="D299" s="29" t="s">
        <v>26</v>
      </c>
      <c r="E299" s="29" t="s">
        <v>12</v>
      </c>
      <c r="F299" s="29" t="s">
        <v>23</v>
      </c>
      <c r="G299" s="10">
        <v>13</v>
      </c>
      <c r="H299" s="16">
        <v>60000</v>
      </c>
      <c r="I299" s="16">
        <v>66000</v>
      </c>
      <c r="J299" s="16">
        <f>PRODUCT('Cleaned Data'!$G299,'Cleaned Data'!$I299)</f>
        <v>858000</v>
      </c>
      <c r="K299" s="16">
        <f>PRODUCT('Cleaned Data'!$G299,'Cleaned Data'!$H299)</f>
        <v>780000</v>
      </c>
      <c r="L299" s="16">
        <f>('Cleaned Data'!$J299-'Cleaned Data'!$K299)</f>
        <v>78000</v>
      </c>
      <c r="M299" s="24">
        <f>('Cleaned Data'!$L299/'Cleaned Data'!$J299)</f>
        <v>9.0909090909090912E-2</v>
      </c>
      <c r="N299" s="9" t="str">
        <f>IF('Cleaned Data'!$G299&gt;10,"High-Volume","Low-Volume")</f>
        <v>High-Volume</v>
      </c>
      <c r="O299" s="9" t="str">
        <f>IF('Cleaned Data'!$I299&gt;=100000,"Premium","Standard")</f>
        <v>Standard</v>
      </c>
      <c r="P299" s="56" t="str">
        <f>IF(Zen_Elite_Shoe_Sales[[#This Row],[Revenue]]&gt;=1000000,"Top Performer","Average Performer")</f>
        <v>Average Performer</v>
      </c>
    </row>
    <row r="300" spans="1:16" x14ac:dyDescent="0.35">
      <c r="A300" s="46">
        <v>46321</v>
      </c>
      <c r="B300" s="28" t="s">
        <v>67</v>
      </c>
      <c r="C300" s="28" t="s">
        <v>15</v>
      </c>
      <c r="D300" s="28" t="s">
        <v>26</v>
      </c>
      <c r="E300" s="28" t="s">
        <v>59</v>
      </c>
      <c r="F300" s="28" t="s">
        <v>33</v>
      </c>
      <c r="G300" s="6">
        <v>10</v>
      </c>
      <c r="H300" s="15">
        <v>69000</v>
      </c>
      <c r="I300" s="15">
        <v>75500</v>
      </c>
      <c r="J300" s="15">
        <f>PRODUCT('Cleaned Data'!$G300,'Cleaned Data'!$I300)</f>
        <v>755000</v>
      </c>
      <c r="K300" s="15">
        <f>PRODUCT('Cleaned Data'!$G300,'Cleaned Data'!$H300)</f>
        <v>690000</v>
      </c>
      <c r="L300" s="15">
        <f>('Cleaned Data'!$J300-'Cleaned Data'!$K300)</f>
        <v>65000</v>
      </c>
      <c r="M300" s="23">
        <f>('Cleaned Data'!$L300/'Cleaned Data'!$J300)</f>
        <v>8.6092715231788075E-2</v>
      </c>
      <c r="N300" s="5" t="str">
        <f>IF('Cleaned Data'!$G300&gt;10,"High-Volume","Low-Volume")</f>
        <v>Low-Volume</v>
      </c>
      <c r="O300" s="5" t="str">
        <f>IF('Cleaned Data'!$I300&gt;=100000,"Premium","Standard")</f>
        <v>Standard</v>
      </c>
      <c r="P300" s="56" t="str">
        <f>IF(Zen_Elite_Shoe_Sales[[#This Row],[Revenue]]&gt;=1000000,"Top Performer","Average Performer")</f>
        <v>Average Performer</v>
      </c>
    </row>
    <row r="301" spans="1:16" x14ac:dyDescent="0.35">
      <c r="A301" s="47">
        <v>46322</v>
      </c>
      <c r="B301" s="29" t="s">
        <v>78</v>
      </c>
      <c r="C301" s="29" t="s">
        <v>41</v>
      </c>
      <c r="D301" s="29" t="s">
        <v>16</v>
      </c>
      <c r="E301" s="29" t="s">
        <v>71</v>
      </c>
      <c r="F301" s="29" t="s">
        <v>43</v>
      </c>
      <c r="G301" s="10">
        <v>7</v>
      </c>
      <c r="H301" s="16">
        <v>101000</v>
      </c>
      <c r="I301" s="16">
        <v>102800</v>
      </c>
      <c r="J301" s="16">
        <f>PRODUCT('Cleaned Data'!$G301,'Cleaned Data'!$I301)</f>
        <v>719600</v>
      </c>
      <c r="K301" s="16">
        <f>PRODUCT('Cleaned Data'!$G301,'Cleaned Data'!$H301)</f>
        <v>707000</v>
      </c>
      <c r="L301" s="16">
        <f>('Cleaned Data'!$J301-'Cleaned Data'!$K301)</f>
        <v>12600</v>
      </c>
      <c r="M301" s="24">
        <f>('Cleaned Data'!$L301/'Cleaned Data'!$J301)</f>
        <v>1.7509727626459144E-2</v>
      </c>
      <c r="N301" s="9" t="str">
        <f>IF('Cleaned Data'!$G301&gt;10,"High-Volume","Low-Volume")</f>
        <v>Low-Volume</v>
      </c>
      <c r="O301" s="9" t="str">
        <f>IF('Cleaned Data'!$I301&gt;=100000,"Premium","Standard")</f>
        <v>Premium</v>
      </c>
      <c r="P301" s="56" t="str">
        <f>IF(Zen_Elite_Shoe_Sales[[#This Row],[Revenue]]&gt;=1000000,"Top Performer","Average Performer")</f>
        <v>Average Performer</v>
      </c>
    </row>
    <row r="302" spans="1:16" x14ac:dyDescent="0.35">
      <c r="A302" s="46">
        <v>46323</v>
      </c>
      <c r="B302" s="28" t="s">
        <v>19</v>
      </c>
      <c r="C302" s="28" t="s">
        <v>50</v>
      </c>
      <c r="D302" s="28" t="s">
        <v>31</v>
      </c>
      <c r="E302" s="28" t="s">
        <v>12</v>
      </c>
      <c r="F302" s="28" t="s">
        <v>13</v>
      </c>
      <c r="G302" s="6">
        <v>13</v>
      </c>
      <c r="H302" s="15">
        <v>41000</v>
      </c>
      <c r="I302" s="15">
        <v>46000</v>
      </c>
      <c r="J302" s="15">
        <f>PRODUCT('Cleaned Data'!$G302,'Cleaned Data'!$I302)</f>
        <v>598000</v>
      </c>
      <c r="K302" s="15">
        <f>PRODUCT('Cleaned Data'!$G302,'Cleaned Data'!$H302)</f>
        <v>533000</v>
      </c>
      <c r="L302" s="15">
        <f>('Cleaned Data'!$J302-'Cleaned Data'!$K302)</f>
        <v>65000</v>
      </c>
      <c r="M302" s="23">
        <f>('Cleaned Data'!$L302/'Cleaned Data'!$J302)</f>
        <v>0.10869565217391304</v>
      </c>
      <c r="N302" s="5" t="str">
        <f>IF('Cleaned Data'!$G302&gt;10,"High-Volume","Low-Volume")</f>
        <v>High-Volume</v>
      </c>
      <c r="O302" s="5" t="str">
        <f>IF('Cleaned Data'!$I302&gt;=100000,"Premium","Standard")</f>
        <v>Standard</v>
      </c>
      <c r="P302" s="56" t="str">
        <f>IF(Zen_Elite_Shoe_Sales[[#This Row],[Revenue]]&gt;=1000000,"Top Performer","Average Performer")</f>
        <v>Average Performer</v>
      </c>
    </row>
    <row r="303" spans="1:16" x14ac:dyDescent="0.35">
      <c r="A303" s="47">
        <v>46324</v>
      </c>
      <c r="B303" s="29" t="s">
        <v>67</v>
      </c>
      <c r="C303" s="29" t="s">
        <v>15</v>
      </c>
      <c r="D303" s="29" t="s">
        <v>31</v>
      </c>
      <c r="E303" s="29" t="s">
        <v>71</v>
      </c>
      <c r="F303" s="29" t="s">
        <v>43</v>
      </c>
      <c r="G303" s="10">
        <v>6</v>
      </c>
      <c r="H303" s="16">
        <v>61000</v>
      </c>
      <c r="I303" s="16">
        <v>67500</v>
      </c>
      <c r="J303" s="16">
        <f>PRODUCT('Cleaned Data'!$G303,'Cleaned Data'!$I303)</f>
        <v>405000</v>
      </c>
      <c r="K303" s="16">
        <f>PRODUCT('Cleaned Data'!$G303,'Cleaned Data'!$H303)</f>
        <v>366000</v>
      </c>
      <c r="L303" s="16">
        <f>('Cleaned Data'!$J303-'Cleaned Data'!$K303)</f>
        <v>39000</v>
      </c>
      <c r="M303" s="24">
        <f>('Cleaned Data'!$L303/'Cleaned Data'!$J303)</f>
        <v>9.6296296296296297E-2</v>
      </c>
      <c r="N303" s="9" t="str">
        <f>IF('Cleaned Data'!$G303&gt;10,"High-Volume","Low-Volume")</f>
        <v>Low-Volume</v>
      </c>
      <c r="O303" s="9" t="str">
        <f>IF('Cleaned Data'!$I303&gt;=100000,"Premium","Standard")</f>
        <v>Standard</v>
      </c>
      <c r="P303" s="56" t="str">
        <f>IF(Zen_Elite_Shoe_Sales[[#This Row],[Revenue]]&gt;=1000000,"Top Performer","Average Performer")</f>
        <v>Average Performer</v>
      </c>
    </row>
    <row r="304" spans="1:16" x14ac:dyDescent="0.35">
      <c r="A304" s="46">
        <v>46325</v>
      </c>
      <c r="B304" s="28" t="s">
        <v>53</v>
      </c>
      <c r="C304" s="28" t="s">
        <v>15</v>
      </c>
      <c r="D304" s="28" t="s">
        <v>31</v>
      </c>
      <c r="E304" s="28" t="s">
        <v>71</v>
      </c>
      <c r="F304" s="28" t="s">
        <v>33</v>
      </c>
      <c r="G304" s="6">
        <v>1</v>
      </c>
      <c r="H304" s="15">
        <v>72000</v>
      </c>
      <c r="I304" s="15">
        <v>75000</v>
      </c>
      <c r="J304" s="15">
        <f>PRODUCT('Cleaned Data'!$G304,'Cleaned Data'!$I304)</f>
        <v>75000</v>
      </c>
      <c r="K304" s="15">
        <f>PRODUCT('Cleaned Data'!$G304,'Cleaned Data'!$H304)</f>
        <v>72000</v>
      </c>
      <c r="L304" s="15">
        <f>('Cleaned Data'!$J304-'Cleaned Data'!$K304)</f>
        <v>3000</v>
      </c>
      <c r="M304" s="23">
        <f>('Cleaned Data'!$L304/'Cleaned Data'!$J304)</f>
        <v>0.04</v>
      </c>
      <c r="N304" s="5" t="str">
        <f>IF('Cleaned Data'!$G304&gt;10,"High-Volume","Low-Volume")</f>
        <v>Low-Volume</v>
      </c>
      <c r="O304" s="5" t="str">
        <f>IF('Cleaned Data'!$I304&gt;=100000,"Premium","Standard")</f>
        <v>Standard</v>
      </c>
      <c r="P304" s="56" t="str">
        <f>IF(Zen_Elite_Shoe_Sales[[#This Row],[Revenue]]&gt;=1000000,"Top Performer","Average Performer")</f>
        <v>Average Performer</v>
      </c>
    </row>
    <row r="305" spans="1:16" x14ac:dyDescent="0.35">
      <c r="A305" s="47">
        <v>46326</v>
      </c>
      <c r="B305" s="29" t="s">
        <v>34</v>
      </c>
      <c r="C305" s="29" t="s">
        <v>41</v>
      </c>
      <c r="D305" s="29" t="s">
        <v>21</v>
      </c>
      <c r="E305" s="29" t="s">
        <v>27</v>
      </c>
      <c r="F305" s="29" t="s">
        <v>60</v>
      </c>
      <c r="G305" s="10">
        <v>8</v>
      </c>
      <c r="H305" s="16">
        <v>123000</v>
      </c>
      <c r="I305" s="16">
        <v>124800</v>
      </c>
      <c r="J305" s="16">
        <f>PRODUCT('Cleaned Data'!$G305,'Cleaned Data'!$I305)</f>
        <v>998400</v>
      </c>
      <c r="K305" s="16">
        <f>PRODUCT('Cleaned Data'!$G305,'Cleaned Data'!$H305)</f>
        <v>984000</v>
      </c>
      <c r="L305" s="16">
        <f>('Cleaned Data'!$J305-'Cleaned Data'!$K305)</f>
        <v>14400</v>
      </c>
      <c r="M305" s="24">
        <f>('Cleaned Data'!$L305/'Cleaned Data'!$J305)</f>
        <v>1.4423076923076924E-2</v>
      </c>
      <c r="N305" s="9" t="str">
        <f>IF('Cleaned Data'!$G305&gt;10,"High-Volume","Low-Volume")</f>
        <v>Low-Volume</v>
      </c>
      <c r="O305" s="9" t="str">
        <f>IF('Cleaned Data'!$I305&gt;=100000,"Premium","Standard")</f>
        <v>Premium</v>
      </c>
      <c r="P305" s="56" t="str">
        <f>IF(Zen_Elite_Shoe_Sales[[#This Row],[Revenue]]&gt;=1000000,"Top Performer","Average Performer")</f>
        <v>Average Performer</v>
      </c>
    </row>
    <row r="306" spans="1:16" x14ac:dyDescent="0.35">
      <c r="A306" s="46">
        <v>46327</v>
      </c>
      <c r="B306" s="28" t="s">
        <v>34</v>
      </c>
      <c r="C306" s="28" t="s">
        <v>41</v>
      </c>
      <c r="D306" s="28" t="s">
        <v>31</v>
      </c>
      <c r="E306" s="28" t="s">
        <v>71</v>
      </c>
      <c r="F306" s="28" t="s">
        <v>37</v>
      </c>
      <c r="G306" s="6">
        <v>1</v>
      </c>
      <c r="H306" s="15">
        <v>99000</v>
      </c>
      <c r="I306" s="15">
        <v>100800</v>
      </c>
      <c r="J306" s="15">
        <f>PRODUCT('Cleaned Data'!$G306,'Cleaned Data'!$I306)</f>
        <v>100800</v>
      </c>
      <c r="K306" s="15">
        <f>PRODUCT('Cleaned Data'!$G306,'Cleaned Data'!$H306)</f>
        <v>99000</v>
      </c>
      <c r="L306" s="15">
        <f>('Cleaned Data'!$J306-'Cleaned Data'!$K306)</f>
        <v>1800</v>
      </c>
      <c r="M306" s="23">
        <f>('Cleaned Data'!$L306/'Cleaned Data'!$J306)</f>
        <v>1.7857142857142856E-2</v>
      </c>
      <c r="N306" s="5" t="str">
        <f>IF('Cleaned Data'!$G306&gt;10,"High-Volume","Low-Volume")</f>
        <v>Low-Volume</v>
      </c>
      <c r="O306" s="5" t="str">
        <f>IF('Cleaned Data'!$I306&gt;=100000,"Premium","Standard")</f>
        <v>Premium</v>
      </c>
      <c r="P306" s="56" t="str">
        <f>IF(Zen_Elite_Shoe_Sales[[#This Row],[Revenue]]&gt;=1000000,"Top Performer","Average Performer")</f>
        <v>Average Performer</v>
      </c>
    </row>
    <row r="307" spans="1:16" x14ac:dyDescent="0.35">
      <c r="A307" s="47">
        <v>46328</v>
      </c>
      <c r="B307" s="29" t="s">
        <v>67</v>
      </c>
      <c r="C307" s="29" t="s">
        <v>15</v>
      </c>
      <c r="D307" s="29" t="s">
        <v>11</v>
      </c>
      <c r="E307" s="29" t="s">
        <v>47</v>
      </c>
      <c r="F307" s="29" t="s">
        <v>52</v>
      </c>
      <c r="G307" s="10">
        <v>14</v>
      </c>
      <c r="H307" s="16">
        <v>65000</v>
      </c>
      <c r="I307" s="16">
        <v>71500</v>
      </c>
      <c r="J307" s="16">
        <f>PRODUCT('Cleaned Data'!$G307,'Cleaned Data'!$I307)</f>
        <v>1001000</v>
      </c>
      <c r="K307" s="16">
        <f>PRODUCT('Cleaned Data'!$G307,'Cleaned Data'!$H307)</f>
        <v>910000</v>
      </c>
      <c r="L307" s="16">
        <f>('Cleaned Data'!$J307-'Cleaned Data'!$K307)</f>
        <v>91000</v>
      </c>
      <c r="M307" s="24">
        <f>('Cleaned Data'!$L307/'Cleaned Data'!$J307)</f>
        <v>9.0909090909090912E-2</v>
      </c>
      <c r="N307" s="9" t="str">
        <f>IF('Cleaned Data'!$G307&gt;10,"High-Volume","Low-Volume")</f>
        <v>High-Volume</v>
      </c>
      <c r="O307" s="9" t="str">
        <f>IF('Cleaned Data'!$I307&gt;=100000,"Premium","Standard")</f>
        <v>Standard</v>
      </c>
      <c r="P307" s="56" t="str">
        <f>IF(Zen_Elite_Shoe_Sales[[#This Row],[Revenue]]&gt;=1000000,"Top Performer","Average Performer")</f>
        <v>Top Performer</v>
      </c>
    </row>
    <row r="308" spans="1:16" x14ac:dyDescent="0.35">
      <c r="A308" s="46">
        <v>46329</v>
      </c>
      <c r="B308" s="28" t="s">
        <v>73</v>
      </c>
      <c r="C308" s="28" t="s">
        <v>30</v>
      </c>
      <c r="D308" s="28" t="s">
        <v>21</v>
      </c>
      <c r="E308" s="28" t="s">
        <v>47</v>
      </c>
      <c r="F308" s="28" t="s">
        <v>28</v>
      </c>
      <c r="G308" s="6">
        <v>4</v>
      </c>
      <c r="H308" s="15">
        <v>63000</v>
      </c>
      <c r="I308" s="15">
        <v>69500</v>
      </c>
      <c r="J308" s="15">
        <f>PRODUCT('Cleaned Data'!$G308,'Cleaned Data'!$I308)</f>
        <v>278000</v>
      </c>
      <c r="K308" s="15">
        <f>PRODUCT('Cleaned Data'!$G308,'Cleaned Data'!$H308)</f>
        <v>252000</v>
      </c>
      <c r="L308" s="15">
        <f>('Cleaned Data'!$J308-'Cleaned Data'!$K308)</f>
        <v>26000</v>
      </c>
      <c r="M308" s="23">
        <f>('Cleaned Data'!$L308/'Cleaned Data'!$J308)</f>
        <v>9.3525179856115109E-2</v>
      </c>
      <c r="N308" s="5" t="str">
        <f>IF('Cleaned Data'!$G308&gt;10,"High-Volume","Low-Volume")</f>
        <v>Low-Volume</v>
      </c>
      <c r="O308" s="5" t="str">
        <f>IF('Cleaned Data'!$I308&gt;=100000,"Premium","Standard")</f>
        <v>Standard</v>
      </c>
      <c r="P308" s="56" t="str">
        <f>IF(Zen_Elite_Shoe_Sales[[#This Row],[Revenue]]&gt;=1000000,"Top Performer","Average Performer")</f>
        <v>Average Performer</v>
      </c>
    </row>
    <row r="309" spans="1:16" x14ac:dyDescent="0.35">
      <c r="A309" s="47">
        <v>46330</v>
      </c>
      <c r="B309" s="29" t="s">
        <v>73</v>
      </c>
      <c r="C309" s="29" t="s">
        <v>30</v>
      </c>
      <c r="D309" s="29" t="s">
        <v>16</v>
      </c>
      <c r="E309" s="29" t="s">
        <v>47</v>
      </c>
      <c r="F309" s="29" t="s">
        <v>60</v>
      </c>
      <c r="G309" s="10">
        <v>14</v>
      </c>
      <c r="H309" s="16">
        <v>55000</v>
      </c>
      <c r="I309" s="16">
        <v>61000</v>
      </c>
      <c r="J309" s="16">
        <f>PRODUCT('Cleaned Data'!$G309,'Cleaned Data'!$I309)</f>
        <v>854000</v>
      </c>
      <c r="K309" s="16">
        <f>PRODUCT('Cleaned Data'!$G309,'Cleaned Data'!$H309)</f>
        <v>770000</v>
      </c>
      <c r="L309" s="16">
        <f>('Cleaned Data'!$J309-'Cleaned Data'!$K309)</f>
        <v>84000</v>
      </c>
      <c r="M309" s="24">
        <f>('Cleaned Data'!$L309/'Cleaned Data'!$J309)</f>
        <v>9.8360655737704916E-2</v>
      </c>
      <c r="N309" s="9" t="str">
        <f>IF('Cleaned Data'!$G309&gt;10,"High-Volume","Low-Volume")</f>
        <v>High-Volume</v>
      </c>
      <c r="O309" s="9" t="str">
        <f>IF('Cleaned Data'!$I309&gt;=100000,"Premium","Standard")</f>
        <v>Standard</v>
      </c>
      <c r="P309" s="56" t="str">
        <f>IF(Zen_Elite_Shoe_Sales[[#This Row],[Revenue]]&gt;=1000000,"Top Performer","Average Performer")</f>
        <v>Average Performer</v>
      </c>
    </row>
    <row r="310" spans="1:16" x14ac:dyDescent="0.35">
      <c r="A310" s="46">
        <v>46331</v>
      </c>
      <c r="B310" s="28" t="s">
        <v>19</v>
      </c>
      <c r="C310" s="28" t="s">
        <v>50</v>
      </c>
      <c r="D310" s="28" t="s">
        <v>21</v>
      </c>
      <c r="E310" s="28" t="s">
        <v>71</v>
      </c>
      <c r="F310" s="28" t="s">
        <v>28</v>
      </c>
      <c r="G310" s="6">
        <v>8</v>
      </c>
      <c r="H310" s="15">
        <v>44000</v>
      </c>
      <c r="I310" s="15">
        <v>49000</v>
      </c>
      <c r="J310" s="15">
        <f>PRODUCT('Cleaned Data'!$G310,'Cleaned Data'!$I310)</f>
        <v>392000</v>
      </c>
      <c r="K310" s="15">
        <f>PRODUCT('Cleaned Data'!$G310,'Cleaned Data'!$H310)</f>
        <v>352000</v>
      </c>
      <c r="L310" s="15">
        <f>('Cleaned Data'!$J310-'Cleaned Data'!$K310)</f>
        <v>40000</v>
      </c>
      <c r="M310" s="23">
        <f>('Cleaned Data'!$L310/'Cleaned Data'!$J310)</f>
        <v>0.10204081632653061</v>
      </c>
      <c r="N310" s="5" t="str">
        <f>IF('Cleaned Data'!$G310&gt;10,"High-Volume","Low-Volume")</f>
        <v>Low-Volume</v>
      </c>
      <c r="O310" s="5" t="str">
        <f>IF('Cleaned Data'!$I310&gt;=100000,"Premium","Standard")</f>
        <v>Standard</v>
      </c>
      <c r="P310" s="56" t="str">
        <f>IF(Zen_Elite_Shoe_Sales[[#This Row],[Revenue]]&gt;=1000000,"Top Performer","Average Performer")</f>
        <v>Average Performer</v>
      </c>
    </row>
    <row r="311" spans="1:16" x14ac:dyDescent="0.35">
      <c r="A311" s="47">
        <v>46332</v>
      </c>
      <c r="B311" s="29" t="s">
        <v>67</v>
      </c>
      <c r="C311" s="29" t="s">
        <v>15</v>
      </c>
      <c r="D311" s="29" t="s">
        <v>31</v>
      </c>
      <c r="E311" s="29" t="s">
        <v>27</v>
      </c>
      <c r="F311" s="29" t="s">
        <v>43</v>
      </c>
      <c r="G311" s="10">
        <v>2</v>
      </c>
      <c r="H311" s="16">
        <v>55000</v>
      </c>
      <c r="I311" s="16">
        <v>61000</v>
      </c>
      <c r="J311" s="16">
        <f>PRODUCT('Cleaned Data'!$G311,'Cleaned Data'!$I311)</f>
        <v>122000</v>
      </c>
      <c r="K311" s="16">
        <f>PRODUCT('Cleaned Data'!$G311,'Cleaned Data'!$H311)</f>
        <v>110000</v>
      </c>
      <c r="L311" s="16">
        <f>('Cleaned Data'!$J311-'Cleaned Data'!$K311)</f>
        <v>12000</v>
      </c>
      <c r="M311" s="24">
        <f>('Cleaned Data'!$L311/'Cleaned Data'!$J311)</f>
        <v>9.8360655737704916E-2</v>
      </c>
      <c r="N311" s="9" t="str">
        <f>IF('Cleaned Data'!$G311&gt;10,"High-Volume","Low-Volume")</f>
        <v>Low-Volume</v>
      </c>
      <c r="O311" s="9" t="str">
        <f>IF('Cleaned Data'!$I311&gt;=100000,"Premium","Standard")</f>
        <v>Standard</v>
      </c>
      <c r="P311" s="56" t="str">
        <f>IF(Zen_Elite_Shoe_Sales[[#This Row],[Revenue]]&gt;=1000000,"Top Performer","Average Performer")</f>
        <v>Average Performer</v>
      </c>
    </row>
    <row r="312" spans="1:16" x14ac:dyDescent="0.35">
      <c r="A312" s="46">
        <v>46333</v>
      </c>
      <c r="B312" s="28" t="s">
        <v>34</v>
      </c>
      <c r="C312" s="28" t="s">
        <v>41</v>
      </c>
      <c r="D312" s="28" t="s">
        <v>16</v>
      </c>
      <c r="E312" s="28" t="s">
        <v>27</v>
      </c>
      <c r="F312" s="28" t="s">
        <v>45</v>
      </c>
      <c r="G312" s="6">
        <v>13</v>
      </c>
      <c r="H312" s="15">
        <v>118000</v>
      </c>
      <c r="I312" s="15">
        <v>119800</v>
      </c>
      <c r="J312" s="15">
        <f>PRODUCT('Cleaned Data'!$G312,'Cleaned Data'!$I312)</f>
        <v>1557400</v>
      </c>
      <c r="K312" s="15">
        <f>PRODUCT('Cleaned Data'!$G312,'Cleaned Data'!$H312)</f>
        <v>1534000</v>
      </c>
      <c r="L312" s="15">
        <f>('Cleaned Data'!$J312-'Cleaned Data'!$K312)</f>
        <v>23400</v>
      </c>
      <c r="M312" s="23">
        <f>('Cleaned Data'!$L312/'Cleaned Data'!$J312)</f>
        <v>1.5025041736227046E-2</v>
      </c>
      <c r="N312" s="5" t="str">
        <f>IF('Cleaned Data'!$G312&gt;10,"High-Volume","Low-Volume")</f>
        <v>High-Volume</v>
      </c>
      <c r="O312" s="5" t="str">
        <f>IF('Cleaned Data'!$I312&gt;=100000,"Premium","Standard")</f>
        <v>Premium</v>
      </c>
      <c r="P312" s="56" t="str">
        <f>IF(Zen_Elite_Shoe_Sales[[#This Row],[Revenue]]&gt;=1000000,"Top Performer","Average Performer")</f>
        <v>Top Performer</v>
      </c>
    </row>
    <row r="313" spans="1:16" x14ac:dyDescent="0.35">
      <c r="A313" s="47">
        <v>46334</v>
      </c>
      <c r="B313" s="29" t="s">
        <v>78</v>
      </c>
      <c r="C313" s="29" t="s">
        <v>41</v>
      </c>
      <c r="D313" s="29" t="s">
        <v>21</v>
      </c>
      <c r="E313" s="29" t="s">
        <v>12</v>
      </c>
      <c r="F313" s="29" t="s">
        <v>33</v>
      </c>
      <c r="G313" s="10">
        <v>8</v>
      </c>
      <c r="H313" s="16">
        <v>118000</v>
      </c>
      <c r="I313" s="16">
        <v>119800</v>
      </c>
      <c r="J313" s="16">
        <f>PRODUCT('Cleaned Data'!$G313,'Cleaned Data'!$I313)</f>
        <v>958400</v>
      </c>
      <c r="K313" s="16">
        <f>PRODUCT('Cleaned Data'!$G313,'Cleaned Data'!$H313)</f>
        <v>944000</v>
      </c>
      <c r="L313" s="16">
        <f>('Cleaned Data'!$J313-'Cleaned Data'!$K313)</f>
        <v>14400</v>
      </c>
      <c r="M313" s="24">
        <f>('Cleaned Data'!$L313/'Cleaned Data'!$J313)</f>
        <v>1.5025041736227046E-2</v>
      </c>
      <c r="N313" s="9" t="str">
        <f>IF('Cleaned Data'!$G313&gt;10,"High-Volume","Low-Volume")</f>
        <v>Low-Volume</v>
      </c>
      <c r="O313" s="9" t="str">
        <f>IF('Cleaned Data'!$I313&gt;=100000,"Premium","Standard")</f>
        <v>Premium</v>
      </c>
      <c r="P313" s="56" t="str">
        <f>IF(Zen_Elite_Shoe_Sales[[#This Row],[Revenue]]&gt;=1000000,"Top Performer","Average Performer")</f>
        <v>Average Performer</v>
      </c>
    </row>
    <row r="314" spans="1:16" x14ac:dyDescent="0.35">
      <c r="A314" s="46">
        <v>46335</v>
      </c>
      <c r="B314" s="28" t="s">
        <v>34</v>
      </c>
      <c r="C314" s="28" t="s">
        <v>41</v>
      </c>
      <c r="D314" s="28" t="s">
        <v>16</v>
      </c>
      <c r="E314" s="28" t="s">
        <v>27</v>
      </c>
      <c r="F314" s="28" t="s">
        <v>39</v>
      </c>
      <c r="G314" s="6">
        <v>1</v>
      </c>
      <c r="H314" s="15">
        <v>96000</v>
      </c>
      <c r="I314" s="15">
        <v>97800</v>
      </c>
      <c r="J314" s="15">
        <f>PRODUCT('Cleaned Data'!$G314,'Cleaned Data'!$I314)</f>
        <v>97800</v>
      </c>
      <c r="K314" s="15">
        <f>PRODUCT('Cleaned Data'!$G314,'Cleaned Data'!$H314)</f>
        <v>96000</v>
      </c>
      <c r="L314" s="15">
        <f>('Cleaned Data'!$J314-'Cleaned Data'!$K314)</f>
        <v>1800</v>
      </c>
      <c r="M314" s="23">
        <f>('Cleaned Data'!$L314/'Cleaned Data'!$J314)</f>
        <v>1.8404907975460124E-2</v>
      </c>
      <c r="N314" s="5" t="str">
        <f>IF('Cleaned Data'!$G314&gt;10,"High-Volume","Low-Volume")</f>
        <v>Low-Volume</v>
      </c>
      <c r="O314" s="5" t="str">
        <f>IF('Cleaned Data'!$I314&gt;=100000,"Premium","Standard")</f>
        <v>Standard</v>
      </c>
      <c r="P314" s="56" t="str">
        <f>IF(Zen_Elite_Shoe_Sales[[#This Row],[Revenue]]&gt;=1000000,"Top Performer","Average Performer")</f>
        <v>Average Performer</v>
      </c>
    </row>
    <row r="315" spans="1:16" x14ac:dyDescent="0.35">
      <c r="A315" s="47">
        <v>46336</v>
      </c>
      <c r="B315" s="29" t="s">
        <v>19</v>
      </c>
      <c r="C315" s="29" t="s">
        <v>50</v>
      </c>
      <c r="D315" s="29" t="s">
        <v>31</v>
      </c>
      <c r="E315" s="29" t="s">
        <v>27</v>
      </c>
      <c r="F315" s="29" t="s">
        <v>33</v>
      </c>
      <c r="G315" s="10">
        <v>11</v>
      </c>
      <c r="H315" s="16">
        <v>52000</v>
      </c>
      <c r="I315" s="16">
        <v>58000</v>
      </c>
      <c r="J315" s="16">
        <f>PRODUCT('Cleaned Data'!$G315,'Cleaned Data'!$I315)</f>
        <v>638000</v>
      </c>
      <c r="K315" s="16">
        <f>PRODUCT('Cleaned Data'!$G315,'Cleaned Data'!$H315)</f>
        <v>572000</v>
      </c>
      <c r="L315" s="16">
        <f>('Cleaned Data'!$J315-'Cleaned Data'!$K315)</f>
        <v>66000</v>
      </c>
      <c r="M315" s="24">
        <f>('Cleaned Data'!$L315/'Cleaned Data'!$J315)</f>
        <v>0.10344827586206896</v>
      </c>
      <c r="N315" s="9" t="str">
        <f>IF('Cleaned Data'!$G315&gt;10,"High-Volume","Low-Volume")</f>
        <v>High-Volume</v>
      </c>
      <c r="O315" s="9" t="str">
        <f>IF('Cleaned Data'!$I315&gt;=100000,"Premium","Standard")</f>
        <v>Standard</v>
      </c>
      <c r="P315" s="56" t="str">
        <f>IF(Zen_Elite_Shoe_Sales[[#This Row],[Revenue]]&gt;=1000000,"Top Performer","Average Performer")</f>
        <v>Average Performer</v>
      </c>
    </row>
    <row r="316" spans="1:16" x14ac:dyDescent="0.35">
      <c r="A316" s="46">
        <v>46337</v>
      </c>
      <c r="B316" s="28" t="s">
        <v>53</v>
      </c>
      <c r="C316" s="28" t="s">
        <v>15</v>
      </c>
      <c r="D316" s="28" t="s">
        <v>11</v>
      </c>
      <c r="E316" s="28" t="s">
        <v>71</v>
      </c>
      <c r="F316" s="28" t="s">
        <v>52</v>
      </c>
      <c r="G316" s="6">
        <v>12</v>
      </c>
      <c r="H316" s="15">
        <v>64000</v>
      </c>
      <c r="I316" s="15">
        <v>70500</v>
      </c>
      <c r="J316" s="15">
        <f>PRODUCT('Cleaned Data'!$G316,'Cleaned Data'!$I316)</f>
        <v>846000</v>
      </c>
      <c r="K316" s="15">
        <f>PRODUCT('Cleaned Data'!$G316,'Cleaned Data'!$H316)</f>
        <v>768000</v>
      </c>
      <c r="L316" s="15">
        <f>('Cleaned Data'!$J316-'Cleaned Data'!$K316)</f>
        <v>78000</v>
      </c>
      <c r="M316" s="23">
        <f>('Cleaned Data'!$L316/'Cleaned Data'!$J316)</f>
        <v>9.2198581560283682E-2</v>
      </c>
      <c r="N316" s="5" t="str">
        <f>IF('Cleaned Data'!$G316&gt;10,"High-Volume","Low-Volume")</f>
        <v>High-Volume</v>
      </c>
      <c r="O316" s="5" t="str">
        <f>IF('Cleaned Data'!$I316&gt;=100000,"Premium","Standard")</f>
        <v>Standard</v>
      </c>
      <c r="P316" s="56" t="str">
        <f>IF(Zen_Elite_Shoe_Sales[[#This Row],[Revenue]]&gt;=1000000,"Top Performer","Average Performer")</f>
        <v>Average Performer</v>
      </c>
    </row>
    <row r="317" spans="1:16" x14ac:dyDescent="0.35">
      <c r="A317" s="47">
        <v>46338</v>
      </c>
      <c r="B317" s="29" t="s">
        <v>19</v>
      </c>
      <c r="C317" s="29" t="s">
        <v>50</v>
      </c>
      <c r="D317" s="29" t="s">
        <v>31</v>
      </c>
      <c r="E317" s="29" t="s">
        <v>71</v>
      </c>
      <c r="F317" s="29" t="s">
        <v>43</v>
      </c>
      <c r="G317" s="10">
        <v>7</v>
      </c>
      <c r="H317" s="16">
        <v>49000</v>
      </c>
      <c r="I317" s="16">
        <v>54000</v>
      </c>
      <c r="J317" s="16">
        <f>PRODUCT('Cleaned Data'!$G317,'Cleaned Data'!$I317)</f>
        <v>378000</v>
      </c>
      <c r="K317" s="16">
        <f>PRODUCT('Cleaned Data'!$G317,'Cleaned Data'!$H317)</f>
        <v>343000</v>
      </c>
      <c r="L317" s="16">
        <f>('Cleaned Data'!$J317-'Cleaned Data'!$K317)</f>
        <v>35000</v>
      </c>
      <c r="M317" s="24">
        <f>('Cleaned Data'!$L317/'Cleaned Data'!$J317)</f>
        <v>9.2592592592592587E-2</v>
      </c>
      <c r="N317" s="9" t="str">
        <f>IF('Cleaned Data'!$G317&gt;10,"High-Volume","Low-Volume")</f>
        <v>Low-Volume</v>
      </c>
      <c r="O317" s="9" t="str">
        <f>IF('Cleaned Data'!$I317&gt;=100000,"Premium","Standard")</f>
        <v>Standard</v>
      </c>
      <c r="P317" s="56" t="str">
        <f>IF(Zen_Elite_Shoe_Sales[[#This Row],[Revenue]]&gt;=1000000,"Top Performer","Average Performer")</f>
        <v>Average Performer</v>
      </c>
    </row>
    <row r="318" spans="1:16" x14ac:dyDescent="0.35">
      <c r="A318" s="46">
        <v>46339</v>
      </c>
      <c r="B318" s="28" t="s">
        <v>64</v>
      </c>
      <c r="C318" s="28" t="s">
        <v>41</v>
      </c>
      <c r="D318" s="28" t="s">
        <v>16</v>
      </c>
      <c r="E318" s="28" t="s">
        <v>47</v>
      </c>
      <c r="F318" s="28" t="s">
        <v>13</v>
      </c>
      <c r="G318" s="6">
        <v>4</v>
      </c>
      <c r="H318" s="15">
        <v>86000</v>
      </c>
      <c r="I318" s="15">
        <v>87800</v>
      </c>
      <c r="J318" s="15">
        <f>PRODUCT('Cleaned Data'!$G318,'Cleaned Data'!$I318)</f>
        <v>351200</v>
      </c>
      <c r="K318" s="15">
        <f>PRODUCT('Cleaned Data'!$G318,'Cleaned Data'!$H318)</f>
        <v>344000</v>
      </c>
      <c r="L318" s="15">
        <f>('Cleaned Data'!$J318-'Cleaned Data'!$K318)</f>
        <v>7200</v>
      </c>
      <c r="M318" s="23">
        <f>('Cleaned Data'!$L318/'Cleaned Data'!$J318)</f>
        <v>2.0501138952164009E-2</v>
      </c>
      <c r="N318" s="5" t="str">
        <f>IF('Cleaned Data'!$G318&gt;10,"High-Volume","Low-Volume")</f>
        <v>Low-Volume</v>
      </c>
      <c r="O318" s="5" t="str">
        <f>IF('Cleaned Data'!$I318&gt;=100000,"Premium","Standard")</f>
        <v>Standard</v>
      </c>
      <c r="P318" s="56" t="str">
        <f>IF(Zen_Elite_Shoe_Sales[[#This Row],[Revenue]]&gt;=1000000,"Top Performer","Average Performer")</f>
        <v>Average Performer</v>
      </c>
    </row>
    <row r="319" spans="1:16" x14ac:dyDescent="0.35">
      <c r="A319" s="47">
        <v>46340</v>
      </c>
      <c r="B319" s="29" t="s">
        <v>78</v>
      </c>
      <c r="C319" s="29" t="s">
        <v>41</v>
      </c>
      <c r="D319" s="29" t="s">
        <v>11</v>
      </c>
      <c r="E319" s="29" t="s">
        <v>12</v>
      </c>
      <c r="F319" s="29" t="s">
        <v>39</v>
      </c>
      <c r="G319" s="10">
        <v>9</v>
      </c>
      <c r="H319" s="16">
        <v>101000</v>
      </c>
      <c r="I319" s="16">
        <v>102800</v>
      </c>
      <c r="J319" s="16">
        <f>PRODUCT('Cleaned Data'!$G319,'Cleaned Data'!$I319)</f>
        <v>925200</v>
      </c>
      <c r="K319" s="16">
        <f>PRODUCT('Cleaned Data'!$G319,'Cleaned Data'!$H319)</f>
        <v>909000</v>
      </c>
      <c r="L319" s="16">
        <f>('Cleaned Data'!$J319-'Cleaned Data'!$K319)</f>
        <v>16200</v>
      </c>
      <c r="M319" s="24">
        <f>('Cleaned Data'!$L319/'Cleaned Data'!$J319)</f>
        <v>1.7509727626459144E-2</v>
      </c>
      <c r="N319" s="9" t="str">
        <f>IF('Cleaned Data'!$G319&gt;10,"High-Volume","Low-Volume")</f>
        <v>Low-Volume</v>
      </c>
      <c r="O319" s="9" t="str">
        <f>IF('Cleaned Data'!$I319&gt;=100000,"Premium","Standard")</f>
        <v>Premium</v>
      </c>
      <c r="P319" s="56" t="str">
        <f>IF(Zen_Elite_Shoe_Sales[[#This Row],[Revenue]]&gt;=1000000,"Top Performer","Average Performer")</f>
        <v>Average Performer</v>
      </c>
    </row>
    <row r="320" spans="1:16" x14ac:dyDescent="0.35">
      <c r="A320" s="46">
        <v>46341</v>
      </c>
      <c r="B320" s="28" t="s">
        <v>78</v>
      </c>
      <c r="C320" s="28" t="s">
        <v>41</v>
      </c>
      <c r="D320" s="28" t="s">
        <v>11</v>
      </c>
      <c r="E320" s="28" t="s">
        <v>71</v>
      </c>
      <c r="F320" s="28" t="s">
        <v>28</v>
      </c>
      <c r="G320" s="6">
        <v>8</v>
      </c>
      <c r="H320" s="15">
        <v>119000</v>
      </c>
      <c r="I320" s="15">
        <v>120800</v>
      </c>
      <c r="J320" s="15">
        <f>PRODUCT('Cleaned Data'!$G320,'Cleaned Data'!$I320)</f>
        <v>966400</v>
      </c>
      <c r="K320" s="15">
        <f>PRODUCT('Cleaned Data'!$G320,'Cleaned Data'!$H320)</f>
        <v>952000</v>
      </c>
      <c r="L320" s="15">
        <f>('Cleaned Data'!$J320-'Cleaned Data'!$K320)</f>
        <v>14400</v>
      </c>
      <c r="M320" s="23">
        <f>('Cleaned Data'!$L320/'Cleaned Data'!$J320)</f>
        <v>1.4900662251655629E-2</v>
      </c>
      <c r="N320" s="5" t="str">
        <f>IF('Cleaned Data'!$G320&gt;10,"High-Volume","Low-Volume")</f>
        <v>Low-Volume</v>
      </c>
      <c r="O320" s="5" t="str">
        <f>IF('Cleaned Data'!$I320&gt;=100000,"Premium","Standard")</f>
        <v>Premium</v>
      </c>
      <c r="P320" s="56" t="str">
        <f>IF(Zen_Elite_Shoe_Sales[[#This Row],[Revenue]]&gt;=1000000,"Top Performer","Average Performer")</f>
        <v>Average Performer</v>
      </c>
    </row>
    <row r="321" spans="1:16" x14ac:dyDescent="0.35">
      <c r="A321" s="47">
        <v>46342</v>
      </c>
      <c r="B321" s="29" t="s">
        <v>67</v>
      </c>
      <c r="C321" s="29" t="s">
        <v>15</v>
      </c>
      <c r="D321" s="29" t="s">
        <v>16</v>
      </c>
      <c r="E321" s="29" t="s">
        <v>27</v>
      </c>
      <c r="F321" s="29" t="s">
        <v>63</v>
      </c>
      <c r="G321" s="10">
        <v>5</v>
      </c>
      <c r="H321" s="16">
        <v>60000</v>
      </c>
      <c r="I321" s="16">
        <v>66000</v>
      </c>
      <c r="J321" s="16">
        <f>PRODUCT('Cleaned Data'!$G321,'Cleaned Data'!$I321)</f>
        <v>330000</v>
      </c>
      <c r="K321" s="16">
        <f>PRODUCT('Cleaned Data'!$G321,'Cleaned Data'!$H321)</f>
        <v>300000</v>
      </c>
      <c r="L321" s="16">
        <f>('Cleaned Data'!$J321-'Cleaned Data'!$K321)</f>
        <v>30000</v>
      </c>
      <c r="M321" s="24">
        <f>('Cleaned Data'!$L321/'Cleaned Data'!$J321)</f>
        <v>9.0909090909090912E-2</v>
      </c>
      <c r="N321" s="9" t="str">
        <f>IF('Cleaned Data'!$G321&gt;10,"High-Volume","Low-Volume")</f>
        <v>Low-Volume</v>
      </c>
      <c r="O321" s="9" t="str">
        <f>IF('Cleaned Data'!$I321&gt;=100000,"Premium","Standard")</f>
        <v>Standard</v>
      </c>
      <c r="P321" s="56" t="str">
        <f>IF(Zen_Elite_Shoe_Sales[[#This Row],[Revenue]]&gt;=1000000,"Top Performer","Average Performer")</f>
        <v>Average Performer</v>
      </c>
    </row>
    <row r="322" spans="1:16" x14ac:dyDescent="0.35">
      <c r="A322" s="46">
        <v>46343</v>
      </c>
      <c r="B322" s="28" t="s">
        <v>19</v>
      </c>
      <c r="C322" s="28" t="s">
        <v>50</v>
      </c>
      <c r="D322" s="28" t="s">
        <v>21</v>
      </c>
      <c r="E322" s="28" t="s">
        <v>12</v>
      </c>
      <c r="F322" s="28" t="s">
        <v>13</v>
      </c>
      <c r="G322" s="6">
        <v>10</v>
      </c>
      <c r="H322" s="15">
        <v>51000</v>
      </c>
      <c r="I322" s="15">
        <v>57000</v>
      </c>
      <c r="J322" s="15">
        <f>PRODUCT('Cleaned Data'!$G322,'Cleaned Data'!$I322)</f>
        <v>570000</v>
      </c>
      <c r="K322" s="15">
        <f>PRODUCT('Cleaned Data'!$G322,'Cleaned Data'!$H322)</f>
        <v>510000</v>
      </c>
      <c r="L322" s="15">
        <f>('Cleaned Data'!$J322-'Cleaned Data'!$K322)</f>
        <v>60000</v>
      </c>
      <c r="M322" s="23">
        <f>('Cleaned Data'!$L322/'Cleaned Data'!$J322)</f>
        <v>0.10526315789473684</v>
      </c>
      <c r="N322" s="5" t="str">
        <f>IF('Cleaned Data'!$G322&gt;10,"High-Volume","Low-Volume")</f>
        <v>Low-Volume</v>
      </c>
      <c r="O322" s="5" t="str">
        <f>IF('Cleaned Data'!$I322&gt;=100000,"Premium","Standard")</f>
        <v>Standard</v>
      </c>
      <c r="P322" s="56" t="str">
        <f>IF(Zen_Elite_Shoe_Sales[[#This Row],[Revenue]]&gt;=1000000,"Top Performer","Average Performer")</f>
        <v>Average Performer</v>
      </c>
    </row>
    <row r="323" spans="1:16" x14ac:dyDescent="0.35">
      <c r="A323" s="47">
        <v>46344</v>
      </c>
      <c r="B323" s="29" t="s">
        <v>53</v>
      </c>
      <c r="C323" s="29" t="s">
        <v>15</v>
      </c>
      <c r="D323" s="29" t="s">
        <v>31</v>
      </c>
      <c r="E323" s="29" t="s">
        <v>27</v>
      </c>
      <c r="F323" s="29" t="s">
        <v>33</v>
      </c>
      <c r="G323" s="10">
        <v>15</v>
      </c>
      <c r="H323" s="16">
        <v>55000</v>
      </c>
      <c r="I323" s="16">
        <v>61000</v>
      </c>
      <c r="J323" s="16">
        <f>PRODUCT('Cleaned Data'!$G323,'Cleaned Data'!$I323)</f>
        <v>915000</v>
      </c>
      <c r="K323" s="16">
        <f>PRODUCT('Cleaned Data'!$G323,'Cleaned Data'!$H323)</f>
        <v>825000</v>
      </c>
      <c r="L323" s="16">
        <f>('Cleaned Data'!$J323-'Cleaned Data'!$K323)</f>
        <v>90000</v>
      </c>
      <c r="M323" s="24">
        <f>('Cleaned Data'!$L323/'Cleaned Data'!$J323)</f>
        <v>9.8360655737704916E-2</v>
      </c>
      <c r="N323" s="9" t="str">
        <f>IF('Cleaned Data'!$G323&gt;10,"High-Volume","Low-Volume")</f>
        <v>High-Volume</v>
      </c>
      <c r="O323" s="9" t="str">
        <f>IF('Cleaned Data'!$I323&gt;=100000,"Premium","Standard")</f>
        <v>Standard</v>
      </c>
      <c r="P323" s="56" t="str">
        <f>IF(Zen_Elite_Shoe_Sales[[#This Row],[Revenue]]&gt;=1000000,"Top Performer","Average Performer")</f>
        <v>Average Performer</v>
      </c>
    </row>
    <row r="324" spans="1:16" x14ac:dyDescent="0.35">
      <c r="A324" s="46">
        <v>46345</v>
      </c>
      <c r="B324" s="28" t="s">
        <v>44</v>
      </c>
      <c r="C324" s="28" t="s">
        <v>41</v>
      </c>
      <c r="D324" s="28" t="s">
        <v>31</v>
      </c>
      <c r="E324" s="28" t="s">
        <v>71</v>
      </c>
      <c r="F324" s="28" t="s">
        <v>23</v>
      </c>
      <c r="G324" s="6">
        <v>4</v>
      </c>
      <c r="H324" s="15">
        <v>138000</v>
      </c>
      <c r="I324" s="15">
        <v>139800</v>
      </c>
      <c r="J324" s="15">
        <f>PRODUCT('Cleaned Data'!$G324,'Cleaned Data'!$I324)</f>
        <v>559200</v>
      </c>
      <c r="K324" s="15">
        <f>PRODUCT('Cleaned Data'!$G324,'Cleaned Data'!$H324)</f>
        <v>552000</v>
      </c>
      <c r="L324" s="15">
        <f>('Cleaned Data'!$J324-'Cleaned Data'!$K324)</f>
        <v>7200</v>
      </c>
      <c r="M324" s="23">
        <f>('Cleaned Data'!$L324/'Cleaned Data'!$J324)</f>
        <v>1.2875536480686695E-2</v>
      </c>
      <c r="N324" s="5" t="str">
        <f>IF('Cleaned Data'!$G324&gt;10,"High-Volume","Low-Volume")</f>
        <v>Low-Volume</v>
      </c>
      <c r="O324" s="5" t="str">
        <f>IF('Cleaned Data'!$I324&gt;=100000,"Premium","Standard")</f>
        <v>Premium</v>
      </c>
      <c r="P324" s="56" t="str">
        <f>IF(Zen_Elite_Shoe_Sales[[#This Row],[Revenue]]&gt;=1000000,"Top Performer","Average Performer")</f>
        <v>Average Performer</v>
      </c>
    </row>
    <row r="325" spans="1:16" x14ac:dyDescent="0.35">
      <c r="A325" s="47">
        <v>46346</v>
      </c>
      <c r="B325" s="29" t="s">
        <v>78</v>
      </c>
      <c r="C325" s="29" t="s">
        <v>41</v>
      </c>
      <c r="D325" s="29" t="s">
        <v>21</v>
      </c>
      <c r="E325" s="29" t="s">
        <v>12</v>
      </c>
      <c r="F325" s="29" t="s">
        <v>45</v>
      </c>
      <c r="G325" s="10">
        <v>15</v>
      </c>
      <c r="H325" s="16">
        <v>116000</v>
      </c>
      <c r="I325" s="16">
        <v>117800</v>
      </c>
      <c r="J325" s="16">
        <f>PRODUCT('Cleaned Data'!$G325,'Cleaned Data'!$I325)</f>
        <v>1767000</v>
      </c>
      <c r="K325" s="16">
        <f>PRODUCT('Cleaned Data'!$G325,'Cleaned Data'!$H325)</f>
        <v>1740000</v>
      </c>
      <c r="L325" s="16">
        <f>('Cleaned Data'!$J325-'Cleaned Data'!$K325)</f>
        <v>27000</v>
      </c>
      <c r="M325" s="24">
        <f>('Cleaned Data'!$L325/'Cleaned Data'!$J325)</f>
        <v>1.5280135823429542E-2</v>
      </c>
      <c r="N325" s="9" t="str">
        <f>IF('Cleaned Data'!$G325&gt;10,"High-Volume","Low-Volume")</f>
        <v>High-Volume</v>
      </c>
      <c r="O325" s="9" t="str">
        <f>IF('Cleaned Data'!$I325&gt;=100000,"Premium","Standard")</f>
        <v>Premium</v>
      </c>
      <c r="P325" s="56" t="str">
        <f>IF(Zen_Elite_Shoe_Sales[[#This Row],[Revenue]]&gt;=1000000,"Top Performer","Average Performer")</f>
        <v>Top Performer</v>
      </c>
    </row>
    <row r="326" spans="1:16" x14ac:dyDescent="0.35">
      <c r="A326" s="46">
        <v>46347</v>
      </c>
      <c r="B326" s="28" t="s">
        <v>78</v>
      </c>
      <c r="C326" s="28" t="s">
        <v>41</v>
      </c>
      <c r="D326" s="28" t="s">
        <v>21</v>
      </c>
      <c r="E326" s="28" t="s">
        <v>59</v>
      </c>
      <c r="F326" s="28" t="s">
        <v>39</v>
      </c>
      <c r="G326" s="6">
        <v>6</v>
      </c>
      <c r="H326" s="15">
        <v>104000</v>
      </c>
      <c r="I326" s="15">
        <v>105800</v>
      </c>
      <c r="J326" s="15">
        <f>PRODUCT('Cleaned Data'!$G326,'Cleaned Data'!$I326)</f>
        <v>634800</v>
      </c>
      <c r="K326" s="15">
        <f>PRODUCT('Cleaned Data'!$G326,'Cleaned Data'!$H326)</f>
        <v>624000</v>
      </c>
      <c r="L326" s="15">
        <f>('Cleaned Data'!$J326-'Cleaned Data'!$K326)</f>
        <v>10800</v>
      </c>
      <c r="M326" s="23">
        <f>('Cleaned Data'!$L326/'Cleaned Data'!$J326)</f>
        <v>1.7013232514177693E-2</v>
      </c>
      <c r="N326" s="5" t="str">
        <f>IF('Cleaned Data'!$G326&gt;10,"High-Volume","Low-Volume")</f>
        <v>Low-Volume</v>
      </c>
      <c r="O326" s="5" t="str">
        <f>IF('Cleaned Data'!$I326&gt;=100000,"Premium","Standard")</f>
        <v>Premium</v>
      </c>
      <c r="P326" s="56" t="str">
        <f>IF(Zen_Elite_Shoe_Sales[[#This Row],[Revenue]]&gt;=1000000,"Top Performer","Average Performer")</f>
        <v>Average Performer</v>
      </c>
    </row>
    <row r="327" spans="1:16" x14ac:dyDescent="0.35">
      <c r="A327" s="47">
        <v>46348</v>
      </c>
      <c r="B327" s="29" t="s">
        <v>19</v>
      </c>
      <c r="C327" s="29" t="s">
        <v>50</v>
      </c>
      <c r="D327" s="29" t="s">
        <v>31</v>
      </c>
      <c r="E327" s="29" t="s">
        <v>12</v>
      </c>
      <c r="F327" s="29" t="s">
        <v>28</v>
      </c>
      <c r="G327" s="10">
        <v>2</v>
      </c>
      <c r="H327" s="16">
        <v>39000</v>
      </c>
      <c r="I327" s="16">
        <v>44000</v>
      </c>
      <c r="J327" s="16">
        <f>PRODUCT('Cleaned Data'!$G327,'Cleaned Data'!$I327)</f>
        <v>88000</v>
      </c>
      <c r="K327" s="16">
        <f>PRODUCT('Cleaned Data'!$G327,'Cleaned Data'!$H327)</f>
        <v>78000</v>
      </c>
      <c r="L327" s="16">
        <f>('Cleaned Data'!$J327-'Cleaned Data'!$K327)</f>
        <v>10000</v>
      </c>
      <c r="M327" s="24">
        <f>('Cleaned Data'!$L327/'Cleaned Data'!$J327)</f>
        <v>0.11363636363636363</v>
      </c>
      <c r="N327" s="9" t="str">
        <f>IF('Cleaned Data'!$G327&gt;10,"High-Volume","Low-Volume")</f>
        <v>Low-Volume</v>
      </c>
      <c r="O327" s="9" t="str">
        <f>IF('Cleaned Data'!$I327&gt;=100000,"Premium","Standard")</f>
        <v>Standard</v>
      </c>
      <c r="P327" s="56" t="str">
        <f>IF(Zen_Elite_Shoe_Sales[[#This Row],[Revenue]]&gt;=1000000,"Top Performer","Average Performer")</f>
        <v>Average Performer</v>
      </c>
    </row>
    <row r="328" spans="1:16" x14ac:dyDescent="0.35">
      <c r="A328" s="46">
        <v>46349</v>
      </c>
      <c r="B328" s="28" t="s">
        <v>78</v>
      </c>
      <c r="C328" s="28" t="s">
        <v>41</v>
      </c>
      <c r="D328" s="28" t="s">
        <v>31</v>
      </c>
      <c r="E328" s="28" t="s">
        <v>71</v>
      </c>
      <c r="F328" s="28" t="s">
        <v>56</v>
      </c>
      <c r="G328" s="6">
        <v>15</v>
      </c>
      <c r="H328" s="15">
        <v>123000</v>
      </c>
      <c r="I328" s="15">
        <v>124800</v>
      </c>
      <c r="J328" s="15">
        <f>PRODUCT('Cleaned Data'!$G328,'Cleaned Data'!$I328)</f>
        <v>1872000</v>
      </c>
      <c r="K328" s="15">
        <f>PRODUCT('Cleaned Data'!$G328,'Cleaned Data'!$H328)</f>
        <v>1845000</v>
      </c>
      <c r="L328" s="15">
        <f>('Cleaned Data'!$J328-'Cleaned Data'!$K328)</f>
        <v>27000</v>
      </c>
      <c r="M328" s="23">
        <f>('Cleaned Data'!$L328/'Cleaned Data'!$J328)</f>
        <v>1.4423076923076924E-2</v>
      </c>
      <c r="N328" s="5" t="str">
        <f>IF('Cleaned Data'!$G328&gt;10,"High-Volume","Low-Volume")</f>
        <v>High-Volume</v>
      </c>
      <c r="O328" s="5" t="str">
        <f>IF('Cleaned Data'!$I328&gt;=100000,"Premium","Standard")</f>
        <v>Premium</v>
      </c>
      <c r="P328" s="56" t="str">
        <f>IF(Zen_Elite_Shoe_Sales[[#This Row],[Revenue]]&gt;=1000000,"Top Performer","Average Performer")</f>
        <v>Top Performer</v>
      </c>
    </row>
    <row r="329" spans="1:16" x14ac:dyDescent="0.35">
      <c r="A329" s="47">
        <v>46350</v>
      </c>
      <c r="B329" s="29" t="s">
        <v>73</v>
      </c>
      <c r="C329" s="29" t="s">
        <v>30</v>
      </c>
      <c r="D329" s="29" t="s">
        <v>11</v>
      </c>
      <c r="E329" s="29" t="s">
        <v>71</v>
      </c>
      <c r="F329" s="29" t="s">
        <v>28</v>
      </c>
      <c r="G329" s="10">
        <v>8</v>
      </c>
      <c r="H329" s="16">
        <v>55000</v>
      </c>
      <c r="I329" s="16">
        <v>61000</v>
      </c>
      <c r="J329" s="16">
        <f>PRODUCT('Cleaned Data'!$G329,'Cleaned Data'!$I329)</f>
        <v>488000</v>
      </c>
      <c r="K329" s="16">
        <f>PRODUCT('Cleaned Data'!$G329,'Cleaned Data'!$H329)</f>
        <v>440000</v>
      </c>
      <c r="L329" s="16">
        <f>('Cleaned Data'!$J329-'Cleaned Data'!$K329)</f>
        <v>48000</v>
      </c>
      <c r="M329" s="24">
        <f>('Cleaned Data'!$L329/'Cleaned Data'!$J329)</f>
        <v>9.8360655737704916E-2</v>
      </c>
      <c r="N329" s="9" t="str">
        <f>IF('Cleaned Data'!$G329&gt;10,"High-Volume","Low-Volume")</f>
        <v>Low-Volume</v>
      </c>
      <c r="O329" s="9" t="str">
        <f>IF('Cleaned Data'!$I329&gt;=100000,"Premium","Standard")</f>
        <v>Standard</v>
      </c>
      <c r="P329" s="56" t="str">
        <f>IF(Zen_Elite_Shoe_Sales[[#This Row],[Revenue]]&gt;=1000000,"Top Performer","Average Performer")</f>
        <v>Average Performer</v>
      </c>
    </row>
    <row r="330" spans="1:16" x14ac:dyDescent="0.35">
      <c r="A330" s="46">
        <v>46351</v>
      </c>
      <c r="B330" s="28" t="s">
        <v>67</v>
      </c>
      <c r="C330" s="28" t="s">
        <v>15</v>
      </c>
      <c r="D330" s="28" t="s">
        <v>26</v>
      </c>
      <c r="E330" s="28" t="s">
        <v>59</v>
      </c>
      <c r="F330" s="28" t="s">
        <v>56</v>
      </c>
      <c r="G330" s="6">
        <v>15</v>
      </c>
      <c r="H330" s="15">
        <v>61000</v>
      </c>
      <c r="I330" s="15">
        <v>67500</v>
      </c>
      <c r="J330" s="15">
        <f>PRODUCT('Cleaned Data'!$G330,'Cleaned Data'!$I330)</f>
        <v>1012500</v>
      </c>
      <c r="K330" s="15">
        <f>PRODUCT('Cleaned Data'!$G330,'Cleaned Data'!$H330)</f>
        <v>915000</v>
      </c>
      <c r="L330" s="15">
        <f>('Cleaned Data'!$J330-'Cleaned Data'!$K330)</f>
        <v>97500</v>
      </c>
      <c r="M330" s="23">
        <f>('Cleaned Data'!$L330/'Cleaned Data'!$J330)</f>
        <v>9.6296296296296297E-2</v>
      </c>
      <c r="N330" s="5" t="str">
        <f>IF('Cleaned Data'!$G330&gt;10,"High-Volume","Low-Volume")</f>
        <v>High-Volume</v>
      </c>
      <c r="O330" s="5" t="str">
        <f>IF('Cleaned Data'!$I330&gt;=100000,"Premium","Standard")</f>
        <v>Standard</v>
      </c>
      <c r="P330" s="56" t="str">
        <f>IF(Zen_Elite_Shoe_Sales[[#This Row],[Revenue]]&gt;=1000000,"Top Performer","Average Performer")</f>
        <v>Top Performer</v>
      </c>
    </row>
    <row r="331" spans="1:16" x14ac:dyDescent="0.35">
      <c r="A331" s="46">
        <v>46352</v>
      </c>
      <c r="B331" s="28" t="s">
        <v>44</v>
      </c>
      <c r="C331" s="28" t="s">
        <v>41</v>
      </c>
      <c r="D331" s="28" t="s">
        <v>16</v>
      </c>
      <c r="E331" s="28" t="s">
        <v>27</v>
      </c>
      <c r="F331" s="28" t="s">
        <v>56</v>
      </c>
      <c r="G331" s="6">
        <v>9</v>
      </c>
      <c r="H331" s="15">
        <v>133000</v>
      </c>
      <c r="I331" s="15">
        <v>134800</v>
      </c>
      <c r="J331" s="15">
        <f>PRODUCT('Cleaned Data'!$G331,'Cleaned Data'!$I331)</f>
        <v>1213200</v>
      </c>
      <c r="K331" s="15">
        <f>PRODUCT('Cleaned Data'!$G331,'Cleaned Data'!$H331)</f>
        <v>1197000</v>
      </c>
      <c r="L331" s="15">
        <f>('Cleaned Data'!$J331-'Cleaned Data'!$K331)</f>
        <v>16200</v>
      </c>
      <c r="M331" s="23">
        <f>('Cleaned Data'!$L331/'Cleaned Data'!$J331)</f>
        <v>1.3353115727002967E-2</v>
      </c>
      <c r="N331" s="5" t="str">
        <f>IF('Cleaned Data'!$G331&gt;10,"High-Volume","Low-Volume")</f>
        <v>Low-Volume</v>
      </c>
      <c r="O331" s="5" t="str">
        <f>IF('Cleaned Data'!$I331&gt;=100000,"Premium","Standard")</f>
        <v>Premium</v>
      </c>
      <c r="P331" s="56" t="str">
        <f>IF(Zen_Elite_Shoe_Sales[[#This Row],[Revenue]]&gt;=1000000,"Top Performer","Average Performer")</f>
        <v>Top Performer</v>
      </c>
    </row>
    <row r="332" spans="1:16" x14ac:dyDescent="0.35">
      <c r="A332" s="46">
        <v>46353</v>
      </c>
      <c r="B332" s="28" t="s">
        <v>67</v>
      </c>
      <c r="C332" s="28" t="s">
        <v>15</v>
      </c>
      <c r="D332" s="28" t="s">
        <v>26</v>
      </c>
      <c r="E332" s="28" t="s">
        <v>59</v>
      </c>
      <c r="F332" s="28" t="s">
        <v>28</v>
      </c>
      <c r="G332" s="6">
        <v>4</v>
      </c>
      <c r="H332" s="15">
        <v>65000</v>
      </c>
      <c r="I332" s="15">
        <v>71500</v>
      </c>
      <c r="J332" s="15">
        <f>PRODUCT('Cleaned Data'!$G332,'Cleaned Data'!$I332)</f>
        <v>286000</v>
      </c>
      <c r="K332" s="15">
        <f>PRODUCT('Cleaned Data'!$G332,'Cleaned Data'!$H332)</f>
        <v>260000</v>
      </c>
      <c r="L332" s="15">
        <f>('Cleaned Data'!$J332-'Cleaned Data'!$K332)</f>
        <v>26000</v>
      </c>
      <c r="M332" s="23">
        <f>('Cleaned Data'!$L332/'Cleaned Data'!$J332)</f>
        <v>9.0909090909090912E-2</v>
      </c>
      <c r="N332" s="5" t="str">
        <f>IF('Cleaned Data'!$G332&gt;10,"High-Volume","Low-Volume")</f>
        <v>Low-Volume</v>
      </c>
      <c r="O332" s="5" t="str">
        <f>IF('Cleaned Data'!$I332&gt;=100000,"Premium","Standard")</f>
        <v>Standard</v>
      </c>
      <c r="P332" s="56" t="str">
        <f>IF(Zen_Elite_Shoe_Sales[[#This Row],[Revenue]]&gt;=1000000,"Top Performer","Average Performer")</f>
        <v>Average Performer</v>
      </c>
    </row>
    <row r="333" spans="1:16" x14ac:dyDescent="0.35">
      <c r="A333" s="46">
        <v>46354</v>
      </c>
      <c r="B333" s="28" t="s">
        <v>34</v>
      </c>
      <c r="C333" s="28" t="s">
        <v>41</v>
      </c>
      <c r="D333" s="28" t="s">
        <v>21</v>
      </c>
      <c r="E333" s="28" t="s">
        <v>71</v>
      </c>
      <c r="F333" s="28" t="s">
        <v>63</v>
      </c>
      <c r="G333" s="6">
        <v>10</v>
      </c>
      <c r="H333" s="15">
        <v>90000</v>
      </c>
      <c r="I333" s="15">
        <v>91800</v>
      </c>
      <c r="J333" s="15">
        <f>PRODUCT('Cleaned Data'!$G333,'Cleaned Data'!$I333)</f>
        <v>918000</v>
      </c>
      <c r="K333" s="15">
        <f>PRODUCT('Cleaned Data'!$G333,'Cleaned Data'!$H333)</f>
        <v>900000</v>
      </c>
      <c r="L333" s="15">
        <f>('Cleaned Data'!$J333-'Cleaned Data'!$K333)</f>
        <v>18000</v>
      </c>
      <c r="M333" s="23">
        <f>('Cleaned Data'!$L333/'Cleaned Data'!$J333)</f>
        <v>1.9607843137254902E-2</v>
      </c>
      <c r="N333" s="5" t="str">
        <f>IF('Cleaned Data'!$G333&gt;10,"High-Volume","Low-Volume")</f>
        <v>Low-Volume</v>
      </c>
      <c r="O333" s="5" t="str">
        <f>IF('Cleaned Data'!$I333&gt;=100000,"Premium","Standard")</f>
        <v>Standard</v>
      </c>
      <c r="P333" s="56" t="str">
        <f>IF(Zen_Elite_Shoe_Sales[[#This Row],[Revenue]]&gt;=1000000,"Top Performer","Average Performer")</f>
        <v>Average Performer</v>
      </c>
    </row>
    <row r="334" spans="1:16" x14ac:dyDescent="0.35">
      <c r="A334" s="46">
        <v>46355</v>
      </c>
      <c r="B334" s="28" t="s">
        <v>73</v>
      </c>
      <c r="C334" s="28" t="s">
        <v>30</v>
      </c>
      <c r="D334" s="28" t="s">
        <v>31</v>
      </c>
      <c r="E334" s="28" t="s">
        <v>27</v>
      </c>
      <c r="F334" s="28" t="s">
        <v>39</v>
      </c>
      <c r="G334" s="6">
        <v>4</v>
      </c>
      <c r="H334" s="15">
        <v>58000</v>
      </c>
      <c r="I334" s="15">
        <v>64000</v>
      </c>
      <c r="J334" s="15">
        <f>PRODUCT('Cleaned Data'!$G334,'Cleaned Data'!$I334)</f>
        <v>256000</v>
      </c>
      <c r="K334" s="15">
        <f>PRODUCT('Cleaned Data'!$G334,'Cleaned Data'!$H334)</f>
        <v>232000</v>
      </c>
      <c r="L334" s="15">
        <f>('Cleaned Data'!$J334-'Cleaned Data'!$K334)</f>
        <v>24000</v>
      </c>
      <c r="M334" s="23">
        <f>('Cleaned Data'!$L334/'Cleaned Data'!$J334)</f>
        <v>9.375E-2</v>
      </c>
      <c r="N334" s="5" t="str">
        <f>IF('Cleaned Data'!$G334&gt;10,"High-Volume","Low-Volume")</f>
        <v>Low-Volume</v>
      </c>
      <c r="O334" s="5" t="str">
        <f>IF('Cleaned Data'!$I334&gt;=100000,"Premium","Standard")</f>
        <v>Standard</v>
      </c>
      <c r="P334" s="56" t="str">
        <f>IF(Zen_Elite_Shoe_Sales[[#This Row],[Revenue]]&gt;=1000000,"Top Performer","Average Performer")</f>
        <v>Average Performer</v>
      </c>
    </row>
    <row r="335" spans="1:16" x14ac:dyDescent="0.35">
      <c r="A335" s="47">
        <v>46356</v>
      </c>
      <c r="B335" s="29" t="s">
        <v>53</v>
      </c>
      <c r="C335" s="29" t="s">
        <v>15</v>
      </c>
      <c r="D335" s="29" t="s">
        <v>21</v>
      </c>
      <c r="E335" s="29" t="s">
        <v>71</v>
      </c>
      <c r="F335" s="29" t="s">
        <v>63</v>
      </c>
      <c r="G335" s="10">
        <v>9</v>
      </c>
      <c r="H335" s="16">
        <v>73000</v>
      </c>
      <c r="I335" s="16">
        <v>76000</v>
      </c>
      <c r="J335" s="16">
        <f>PRODUCT('Cleaned Data'!$G335,'Cleaned Data'!$I335)</f>
        <v>684000</v>
      </c>
      <c r="K335" s="16">
        <f>PRODUCT('Cleaned Data'!$G335,'Cleaned Data'!$H335)</f>
        <v>657000</v>
      </c>
      <c r="L335" s="16">
        <f>('Cleaned Data'!$J335-'Cleaned Data'!$K335)</f>
        <v>27000</v>
      </c>
      <c r="M335" s="24">
        <f>('Cleaned Data'!$L335/'Cleaned Data'!$J335)</f>
        <v>3.9473684210526314E-2</v>
      </c>
      <c r="N335" s="9" t="str">
        <f>IF('Cleaned Data'!$G335&gt;10,"High-Volume","Low-Volume")</f>
        <v>Low-Volume</v>
      </c>
      <c r="O335" s="9" t="str">
        <f>IF('Cleaned Data'!$I335&gt;=100000,"Premium","Standard")</f>
        <v>Standard</v>
      </c>
      <c r="P335" s="56" t="str">
        <f>IF(Zen_Elite_Shoe_Sales[[#This Row],[Revenue]]&gt;=1000000,"Top Performer","Average Performer")</f>
        <v>Average Performer</v>
      </c>
    </row>
    <row r="336" spans="1:16" x14ac:dyDescent="0.35">
      <c r="A336" s="46">
        <v>46357</v>
      </c>
      <c r="B336" s="28" t="s">
        <v>64</v>
      </c>
      <c r="C336" s="28" t="s">
        <v>41</v>
      </c>
      <c r="D336" s="28" t="s">
        <v>11</v>
      </c>
      <c r="E336" s="28" t="s">
        <v>71</v>
      </c>
      <c r="F336" s="28" t="s">
        <v>18</v>
      </c>
      <c r="G336" s="6">
        <v>12</v>
      </c>
      <c r="H336" s="15">
        <v>114000</v>
      </c>
      <c r="I336" s="15">
        <v>115800</v>
      </c>
      <c r="J336" s="15">
        <f>PRODUCT('Cleaned Data'!$G336,'Cleaned Data'!$I336)</f>
        <v>1389600</v>
      </c>
      <c r="K336" s="15">
        <f>PRODUCT('Cleaned Data'!$G336,'Cleaned Data'!$H336)</f>
        <v>1368000</v>
      </c>
      <c r="L336" s="15">
        <f>('Cleaned Data'!$J336-'Cleaned Data'!$K336)</f>
        <v>21600</v>
      </c>
      <c r="M336" s="23">
        <f>('Cleaned Data'!$L336/'Cleaned Data'!$J336)</f>
        <v>1.5544041450777202E-2</v>
      </c>
      <c r="N336" s="5" t="str">
        <f>IF('Cleaned Data'!$G336&gt;10,"High-Volume","Low-Volume")</f>
        <v>High-Volume</v>
      </c>
      <c r="O336" s="5" t="str">
        <f>IF('Cleaned Data'!$I336&gt;=100000,"Premium","Standard")</f>
        <v>Premium</v>
      </c>
      <c r="P336" s="56" t="str">
        <f>IF(Zen_Elite_Shoe_Sales[[#This Row],[Revenue]]&gt;=1000000,"Top Performer","Average Performer")</f>
        <v>Top Performer</v>
      </c>
    </row>
    <row r="337" spans="1:16" x14ac:dyDescent="0.35">
      <c r="A337" s="47">
        <v>46358</v>
      </c>
      <c r="B337" s="29" t="s">
        <v>64</v>
      </c>
      <c r="C337" s="29" t="s">
        <v>41</v>
      </c>
      <c r="D337" s="29" t="s">
        <v>16</v>
      </c>
      <c r="E337" s="29" t="s">
        <v>12</v>
      </c>
      <c r="F337" s="29" t="s">
        <v>52</v>
      </c>
      <c r="G337" s="10">
        <v>6</v>
      </c>
      <c r="H337" s="16">
        <v>117000</v>
      </c>
      <c r="I337" s="16">
        <v>118800</v>
      </c>
      <c r="J337" s="16">
        <f>PRODUCT('Cleaned Data'!$G337,'Cleaned Data'!$I337)</f>
        <v>712800</v>
      </c>
      <c r="K337" s="16">
        <f>PRODUCT('Cleaned Data'!$G337,'Cleaned Data'!$H337)</f>
        <v>702000</v>
      </c>
      <c r="L337" s="16">
        <f>('Cleaned Data'!$J337-'Cleaned Data'!$K337)</f>
        <v>10800</v>
      </c>
      <c r="M337" s="24">
        <f>('Cleaned Data'!$L337/'Cleaned Data'!$J337)</f>
        <v>1.5151515151515152E-2</v>
      </c>
      <c r="N337" s="9" t="str">
        <f>IF('Cleaned Data'!$G337&gt;10,"High-Volume","Low-Volume")</f>
        <v>Low-Volume</v>
      </c>
      <c r="O337" s="9" t="str">
        <f>IF('Cleaned Data'!$I337&gt;=100000,"Premium","Standard")</f>
        <v>Premium</v>
      </c>
      <c r="P337" s="56" t="str">
        <f>IF(Zen_Elite_Shoe_Sales[[#This Row],[Revenue]]&gt;=1000000,"Top Performer","Average Performer")</f>
        <v>Average Performer</v>
      </c>
    </row>
    <row r="338" spans="1:16" x14ac:dyDescent="0.35">
      <c r="A338" s="46">
        <v>46359</v>
      </c>
      <c r="B338" s="28" t="s">
        <v>44</v>
      </c>
      <c r="C338" s="28" t="s">
        <v>41</v>
      </c>
      <c r="D338" s="28" t="s">
        <v>31</v>
      </c>
      <c r="E338" s="28" t="s">
        <v>12</v>
      </c>
      <c r="F338" s="28" t="s">
        <v>33</v>
      </c>
      <c r="G338" s="6">
        <v>3</v>
      </c>
      <c r="H338" s="15">
        <v>131000</v>
      </c>
      <c r="I338" s="15">
        <v>132800</v>
      </c>
      <c r="J338" s="15">
        <f>PRODUCT('Cleaned Data'!$G338,'Cleaned Data'!$I338)</f>
        <v>398400</v>
      </c>
      <c r="K338" s="15">
        <f>PRODUCT('Cleaned Data'!$G338,'Cleaned Data'!$H338)</f>
        <v>393000</v>
      </c>
      <c r="L338" s="15">
        <f>('Cleaned Data'!$J338-'Cleaned Data'!$K338)</f>
        <v>5400</v>
      </c>
      <c r="M338" s="23">
        <f>('Cleaned Data'!$L338/'Cleaned Data'!$J338)</f>
        <v>1.355421686746988E-2</v>
      </c>
      <c r="N338" s="5" t="str">
        <f>IF('Cleaned Data'!$G338&gt;10,"High-Volume","Low-Volume")</f>
        <v>Low-Volume</v>
      </c>
      <c r="O338" s="5" t="str">
        <f>IF('Cleaned Data'!$I338&gt;=100000,"Premium","Standard")</f>
        <v>Premium</v>
      </c>
      <c r="P338" s="56" t="str">
        <f>IF(Zen_Elite_Shoe_Sales[[#This Row],[Revenue]]&gt;=1000000,"Top Performer","Average Performer")</f>
        <v>Average Performer</v>
      </c>
    </row>
    <row r="339" spans="1:16" x14ac:dyDescent="0.35">
      <c r="A339" s="47">
        <v>46360</v>
      </c>
      <c r="B339" s="29" t="s">
        <v>64</v>
      </c>
      <c r="C339" s="29" t="s">
        <v>41</v>
      </c>
      <c r="D339" s="29" t="s">
        <v>11</v>
      </c>
      <c r="E339" s="29" t="s">
        <v>27</v>
      </c>
      <c r="F339" s="29" t="s">
        <v>33</v>
      </c>
      <c r="G339" s="10">
        <v>1</v>
      </c>
      <c r="H339" s="16">
        <v>106000</v>
      </c>
      <c r="I339" s="16">
        <v>107800</v>
      </c>
      <c r="J339" s="16">
        <f>PRODUCT('Cleaned Data'!$G339,'Cleaned Data'!$I339)</f>
        <v>107800</v>
      </c>
      <c r="K339" s="16">
        <f>PRODUCT('Cleaned Data'!$G339,'Cleaned Data'!$H339)</f>
        <v>106000</v>
      </c>
      <c r="L339" s="16">
        <f>('Cleaned Data'!$J339-'Cleaned Data'!$K339)</f>
        <v>1800</v>
      </c>
      <c r="M339" s="24">
        <f>('Cleaned Data'!$L339/'Cleaned Data'!$J339)</f>
        <v>1.6697588126159554E-2</v>
      </c>
      <c r="N339" s="9" t="str">
        <f>IF('Cleaned Data'!$G339&gt;10,"High-Volume","Low-Volume")</f>
        <v>Low-Volume</v>
      </c>
      <c r="O339" s="9" t="str">
        <f>IF('Cleaned Data'!$I339&gt;=100000,"Premium","Standard")</f>
        <v>Premium</v>
      </c>
      <c r="P339" s="56" t="str">
        <f>IF(Zen_Elite_Shoe_Sales[[#This Row],[Revenue]]&gt;=1000000,"Top Performer","Average Performer")</f>
        <v>Average Performer</v>
      </c>
    </row>
    <row r="340" spans="1:16" x14ac:dyDescent="0.35">
      <c r="A340" s="46">
        <v>46361</v>
      </c>
      <c r="B340" s="28" t="s">
        <v>44</v>
      </c>
      <c r="C340" s="28" t="s">
        <v>41</v>
      </c>
      <c r="D340" s="28" t="s">
        <v>16</v>
      </c>
      <c r="E340" s="28" t="s">
        <v>47</v>
      </c>
      <c r="F340" s="28" t="s">
        <v>13</v>
      </c>
      <c r="G340" s="6">
        <v>3</v>
      </c>
      <c r="H340" s="15">
        <v>137000</v>
      </c>
      <c r="I340" s="15">
        <v>138800</v>
      </c>
      <c r="J340" s="15">
        <f>PRODUCT('Cleaned Data'!$G340,'Cleaned Data'!$I340)</f>
        <v>416400</v>
      </c>
      <c r="K340" s="15">
        <f>PRODUCT('Cleaned Data'!$G340,'Cleaned Data'!$H340)</f>
        <v>411000</v>
      </c>
      <c r="L340" s="15">
        <f>('Cleaned Data'!$J340-'Cleaned Data'!$K340)</f>
        <v>5400</v>
      </c>
      <c r="M340" s="23">
        <f>('Cleaned Data'!$L340/'Cleaned Data'!$J340)</f>
        <v>1.2968299711815562E-2</v>
      </c>
      <c r="N340" s="5" t="str">
        <f>IF('Cleaned Data'!$G340&gt;10,"High-Volume","Low-Volume")</f>
        <v>Low-Volume</v>
      </c>
      <c r="O340" s="5" t="str">
        <f>IF('Cleaned Data'!$I340&gt;=100000,"Premium","Standard")</f>
        <v>Premium</v>
      </c>
      <c r="P340" s="56" t="str">
        <f>IF(Zen_Elite_Shoe_Sales[[#This Row],[Revenue]]&gt;=1000000,"Top Performer","Average Performer")</f>
        <v>Average Performer</v>
      </c>
    </row>
    <row r="341" spans="1:16" x14ac:dyDescent="0.35">
      <c r="A341" s="47">
        <v>46362</v>
      </c>
      <c r="B341" s="29" t="s">
        <v>44</v>
      </c>
      <c r="C341" s="29" t="s">
        <v>41</v>
      </c>
      <c r="D341" s="29" t="s">
        <v>16</v>
      </c>
      <c r="E341" s="29" t="s">
        <v>27</v>
      </c>
      <c r="F341" s="29" t="s">
        <v>43</v>
      </c>
      <c r="G341" s="10">
        <v>1</v>
      </c>
      <c r="H341" s="16">
        <v>103000</v>
      </c>
      <c r="I341" s="16">
        <v>104800</v>
      </c>
      <c r="J341" s="16">
        <f>PRODUCT('Cleaned Data'!$G341,'Cleaned Data'!$I341)</f>
        <v>104800</v>
      </c>
      <c r="K341" s="16">
        <f>PRODUCT('Cleaned Data'!$G341,'Cleaned Data'!$H341)</f>
        <v>103000</v>
      </c>
      <c r="L341" s="16">
        <f>('Cleaned Data'!$J341-'Cleaned Data'!$K341)</f>
        <v>1800</v>
      </c>
      <c r="M341" s="24">
        <f>('Cleaned Data'!$L341/'Cleaned Data'!$J341)</f>
        <v>1.717557251908397E-2</v>
      </c>
      <c r="N341" s="9" t="str">
        <f>IF('Cleaned Data'!$G341&gt;10,"High-Volume","Low-Volume")</f>
        <v>Low-Volume</v>
      </c>
      <c r="O341" s="9" t="str">
        <f>IF('Cleaned Data'!$I341&gt;=100000,"Premium","Standard")</f>
        <v>Premium</v>
      </c>
      <c r="P341" s="56" t="str">
        <f>IF(Zen_Elite_Shoe_Sales[[#This Row],[Revenue]]&gt;=1000000,"Top Performer","Average Performer")</f>
        <v>Average Performer</v>
      </c>
    </row>
    <row r="342" spans="1:16" x14ac:dyDescent="0.35">
      <c r="A342" s="46">
        <v>46363</v>
      </c>
      <c r="B342" s="28" t="s">
        <v>44</v>
      </c>
      <c r="C342" s="28" t="s">
        <v>41</v>
      </c>
      <c r="D342" s="28" t="s">
        <v>16</v>
      </c>
      <c r="E342" s="28" t="s">
        <v>71</v>
      </c>
      <c r="F342" s="28" t="s">
        <v>56</v>
      </c>
      <c r="G342" s="6">
        <v>6</v>
      </c>
      <c r="H342" s="15">
        <v>129000</v>
      </c>
      <c r="I342" s="15">
        <v>130800</v>
      </c>
      <c r="J342" s="15">
        <f>PRODUCT('Cleaned Data'!$G342,'Cleaned Data'!$I342)</f>
        <v>784800</v>
      </c>
      <c r="K342" s="15">
        <f>PRODUCT('Cleaned Data'!$G342,'Cleaned Data'!$H342)</f>
        <v>774000</v>
      </c>
      <c r="L342" s="15">
        <f>('Cleaned Data'!$J342-'Cleaned Data'!$K342)</f>
        <v>10800</v>
      </c>
      <c r="M342" s="23">
        <f>('Cleaned Data'!$L342/'Cleaned Data'!$J342)</f>
        <v>1.3761467889908258E-2</v>
      </c>
      <c r="N342" s="5" t="str">
        <f>IF('Cleaned Data'!$G342&gt;10,"High-Volume","Low-Volume")</f>
        <v>Low-Volume</v>
      </c>
      <c r="O342" s="5" t="str">
        <f>IF('Cleaned Data'!$I342&gt;=100000,"Premium","Standard")</f>
        <v>Premium</v>
      </c>
      <c r="P342" s="56" t="str">
        <f>IF(Zen_Elite_Shoe_Sales[[#This Row],[Revenue]]&gt;=1000000,"Top Performer","Average Performer")</f>
        <v>Average Performer</v>
      </c>
    </row>
    <row r="343" spans="1:16" x14ac:dyDescent="0.35">
      <c r="A343" s="47">
        <v>46364</v>
      </c>
      <c r="B343" s="29" t="s">
        <v>19</v>
      </c>
      <c r="C343" s="29" t="s">
        <v>50</v>
      </c>
      <c r="D343" s="29" t="s">
        <v>16</v>
      </c>
      <c r="E343" s="29" t="s">
        <v>12</v>
      </c>
      <c r="F343" s="29" t="s">
        <v>63</v>
      </c>
      <c r="G343" s="10">
        <v>1</v>
      </c>
      <c r="H343" s="16">
        <v>52000</v>
      </c>
      <c r="I343" s="16">
        <v>58000</v>
      </c>
      <c r="J343" s="16">
        <f>PRODUCT('Cleaned Data'!$G343,'Cleaned Data'!$I343)</f>
        <v>58000</v>
      </c>
      <c r="K343" s="16">
        <f>PRODUCT('Cleaned Data'!$G343,'Cleaned Data'!$H343)</f>
        <v>52000</v>
      </c>
      <c r="L343" s="16">
        <f>('Cleaned Data'!$J343-'Cleaned Data'!$K343)</f>
        <v>6000</v>
      </c>
      <c r="M343" s="24">
        <f>('Cleaned Data'!$L343/'Cleaned Data'!$J343)</f>
        <v>0.10344827586206896</v>
      </c>
      <c r="N343" s="9" t="str">
        <f>IF('Cleaned Data'!$G343&gt;10,"High-Volume","Low-Volume")</f>
        <v>Low-Volume</v>
      </c>
      <c r="O343" s="9" t="str">
        <f>IF('Cleaned Data'!$I343&gt;=100000,"Premium","Standard")</f>
        <v>Standard</v>
      </c>
      <c r="P343" s="56" t="str">
        <f>IF(Zen_Elite_Shoe_Sales[[#This Row],[Revenue]]&gt;=1000000,"Top Performer","Average Performer")</f>
        <v>Average Performer</v>
      </c>
    </row>
    <row r="344" spans="1:16" x14ac:dyDescent="0.35">
      <c r="A344" s="46">
        <v>46365</v>
      </c>
      <c r="B344" s="28" t="s">
        <v>78</v>
      </c>
      <c r="C344" s="28" t="s">
        <v>41</v>
      </c>
      <c r="D344" s="28" t="s">
        <v>26</v>
      </c>
      <c r="E344" s="28" t="s">
        <v>47</v>
      </c>
      <c r="F344" s="28" t="s">
        <v>60</v>
      </c>
      <c r="G344" s="6">
        <v>2</v>
      </c>
      <c r="H344" s="15">
        <v>132000</v>
      </c>
      <c r="I344" s="15">
        <v>133800</v>
      </c>
      <c r="J344" s="15">
        <f>PRODUCT('Cleaned Data'!$G344,'Cleaned Data'!$I344)</f>
        <v>267600</v>
      </c>
      <c r="K344" s="15">
        <f>PRODUCT('Cleaned Data'!$G344,'Cleaned Data'!$H344)</f>
        <v>264000</v>
      </c>
      <c r="L344" s="15">
        <f>('Cleaned Data'!$J344-'Cleaned Data'!$K344)</f>
        <v>3600</v>
      </c>
      <c r="M344" s="23">
        <f>('Cleaned Data'!$L344/'Cleaned Data'!$J344)</f>
        <v>1.3452914798206279E-2</v>
      </c>
      <c r="N344" s="5" t="str">
        <f>IF('Cleaned Data'!$G344&gt;10,"High-Volume","Low-Volume")</f>
        <v>Low-Volume</v>
      </c>
      <c r="O344" s="5" t="str">
        <f>IF('Cleaned Data'!$I344&gt;=100000,"Premium","Standard")</f>
        <v>Premium</v>
      </c>
      <c r="P344" s="56" t="str">
        <f>IF(Zen_Elite_Shoe_Sales[[#This Row],[Revenue]]&gt;=1000000,"Top Performer","Average Performer")</f>
        <v>Average Performer</v>
      </c>
    </row>
    <row r="345" spans="1:16" x14ac:dyDescent="0.35">
      <c r="A345" s="47">
        <v>46366</v>
      </c>
      <c r="B345" s="29" t="s">
        <v>34</v>
      </c>
      <c r="C345" s="29" t="s">
        <v>41</v>
      </c>
      <c r="D345" s="29" t="s">
        <v>11</v>
      </c>
      <c r="E345" s="29" t="s">
        <v>27</v>
      </c>
      <c r="F345" s="29" t="s">
        <v>39</v>
      </c>
      <c r="G345" s="10">
        <v>13</v>
      </c>
      <c r="H345" s="16">
        <v>124000</v>
      </c>
      <c r="I345" s="16">
        <v>125800</v>
      </c>
      <c r="J345" s="16">
        <f>PRODUCT('Cleaned Data'!$G345,'Cleaned Data'!$I345)</f>
        <v>1635400</v>
      </c>
      <c r="K345" s="16">
        <f>PRODUCT('Cleaned Data'!$G345,'Cleaned Data'!$H345)</f>
        <v>1612000</v>
      </c>
      <c r="L345" s="16">
        <f>('Cleaned Data'!$J345-'Cleaned Data'!$K345)</f>
        <v>23400</v>
      </c>
      <c r="M345" s="24">
        <f>('Cleaned Data'!$L345/'Cleaned Data'!$J345)</f>
        <v>1.4308426073131956E-2</v>
      </c>
      <c r="N345" s="9" t="str">
        <f>IF('Cleaned Data'!$G345&gt;10,"High-Volume","Low-Volume")</f>
        <v>High-Volume</v>
      </c>
      <c r="O345" s="9" t="str">
        <f>IF('Cleaned Data'!$I345&gt;=100000,"Premium","Standard")</f>
        <v>Premium</v>
      </c>
      <c r="P345" s="56" t="str">
        <f>IF(Zen_Elite_Shoe_Sales[[#This Row],[Revenue]]&gt;=1000000,"Top Performer","Average Performer")</f>
        <v>Top Performer</v>
      </c>
    </row>
    <row r="346" spans="1:16" x14ac:dyDescent="0.35">
      <c r="A346" s="46">
        <v>46367</v>
      </c>
      <c r="B346" s="28" t="s">
        <v>64</v>
      </c>
      <c r="C346" s="28" t="s">
        <v>41</v>
      </c>
      <c r="D346" s="28" t="s">
        <v>31</v>
      </c>
      <c r="E346" s="28" t="s">
        <v>59</v>
      </c>
      <c r="F346" s="28" t="s">
        <v>45</v>
      </c>
      <c r="G346" s="6">
        <v>10</v>
      </c>
      <c r="H346" s="15">
        <v>114000</v>
      </c>
      <c r="I346" s="15">
        <v>115800</v>
      </c>
      <c r="J346" s="15">
        <f>PRODUCT('Cleaned Data'!$G346,'Cleaned Data'!$I346)</f>
        <v>1158000</v>
      </c>
      <c r="K346" s="15">
        <f>PRODUCT('Cleaned Data'!$G346,'Cleaned Data'!$H346)</f>
        <v>1140000</v>
      </c>
      <c r="L346" s="15">
        <f>('Cleaned Data'!$J346-'Cleaned Data'!$K346)</f>
        <v>18000</v>
      </c>
      <c r="M346" s="23">
        <f>('Cleaned Data'!$L346/'Cleaned Data'!$J346)</f>
        <v>1.5544041450777202E-2</v>
      </c>
      <c r="N346" s="5" t="str">
        <f>IF('Cleaned Data'!$G346&gt;10,"High-Volume","Low-Volume")</f>
        <v>Low-Volume</v>
      </c>
      <c r="O346" s="5" t="str">
        <f>IF('Cleaned Data'!$I346&gt;=100000,"Premium","Standard")</f>
        <v>Premium</v>
      </c>
      <c r="P346" s="56" t="str">
        <f>IF(Zen_Elite_Shoe_Sales[[#This Row],[Revenue]]&gt;=1000000,"Top Performer","Average Performer")</f>
        <v>Top Performer</v>
      </c>
    </row>
    <row r="347" spans="1:16" x14ac:dyDescent="0.35">
      <c r="A347" s="47">
        <v>46368</v>
      </c>
      <c r="B347" s="29" t="s">
        <v>78</v>
      </c>
      <c r="C347" s="29" t="s">
        <v>41</v>
      </c>
      <c r="D347" s="29" t="s">
        <v>11</v>
      </c>
      <c r="E347" s="29" t="s">
        <v>27</v>
      </c>
      <c r="F347" s="29" t="s">
        <v>48</v>
      </c>
      <c r="G347" s="10">
        <v>15</v>
      </c>
      <c r="H347" s="16">
        <v>127000</v>
      </c>
      <c r="I347" s="16">
        <v>128800</v>
      </c>
      <c r="J347" s="16">
        <f>PRODUCT('Cleaned Data'!$G347,'Cleaned Data'!$I347)</f>
        <v>1932000</v>
      </c>
      <c r="K347" s="16">
        <f>PRODUCT('Cleaned Data'!$G347,'Cleaned Data'!$H347)</f>
        <v>1905000</v>
      </c>
      <c r="L347" s="16">
        <f>('Cleaned Data'!$J347-'Cleaned Data'!$K347)</f>
        <v>27000</v>
      </c>
      <c r="M347" s="24">
        <f>('Cleaned Data'!$L347/'Cleaned Data'!$J347)</f>
        <v>1.3975155279503106E-2</v>
      </c>
      <c r="N347" s="9" t="str">
        <f>IF('Cleaned Data'!$G347&gt;10,"High-Volume","Low-Volume")</f>
        <v>High-Volume</v>
      </c>
      <c r="O347" s="9" t="str">
        <f>IF('Cleaned Data'!$I347&gt;=100000,"Premium","Standard")</f>
        <v>Premium</v>
      </c>
      <c r="P347" s="56" t="str">
        <f>IF(Zen_Elite_Shoe_Sales[[#This Row],[Revenue]]&gt;=1000000,"Top Performer","Average Performer")</f>
        <v>Top Performer</v>
      </c>
    </row>
    <row r="348" spans="1:16" x14ac:dyDescent="0.35">
      <c r="A348" s="46">
        <v>46369</v>
      </c>
      <c r="B348" s="28" t="s">
        <v>73</v>
      </c>
      <c r="C348" s="28" t="s">
        <v>30</v>
      </c>
      <c r="D348" s="28" t="s">
        <v>11</v>
      </c>
      <c r="E348" s="28" t="s">
        <v>12</v>
      </c>
      <c r="F348" s="28" t="s">
        <v>13</v>
      </c>
      <c r="G348" s="6">
        <v>4</v>
      </c>
      <c r="H348" s="15">
        <v>58000</v>
      </c>
      <c r="I348" s="15">
        <v>64000</v>
      </c>
      <c r="J348" s="15">
        <f>PRODUCT('Cleaned Data'!$G348,'Cleaned Data'!$I348)</f>
        <v>256000</v>
      </c>
      <c r="K348" s="15">
        <f>PRODUCT('Cleaned Data'!$G348,'Cleaned Data'!$H348)</f>
        <v>232000</v>
      </c>
      <c r="L348" s="15">
        <f>('Cleaned Data'!$J348-'Cleaned Data'!$K348)</f>
        <v>24000</v>
      </c>
      <c r="M348" s="23">
        <f>('Cleaned Data'!$L348/'Cleaned Data'!$J348)</f>
        <v>9.375E-2</v>
      </c>
      <c r="N348" s="5" t="str">
        <f>IF('Cleaned Data'!$G348&gt;10,"High-Volume","Low-Volume")</f>
        <v>Low-Volume</v>
      </c>
      <c r="O348" s="5" t="str">
        <f>IF('Cleaned Data'!$I348&gt;=100000,"Premium","Standard")</f>
        <v>Standard</v>
      </c>
      <c r="P348" s="56" t="str">
        <f>IF(Zen_Elite_Shoe_Sales[[#This Row],[Revenue]]&gt;=1000000,"Top Performer","Average Performer")</f>
        <v>Average Performer</v>
      </c>
    </row>
    <row r="349" spans="1:16" x14ac:dyDescent="0.35">
      <c r="A349" s="47">
        <v>46370</v>
      </c>
      <c r="B349" s="29" t="s">
        <v>53</v>
      </c>
      <c r="C349" s="29" t="s">
        <v>15</v>
      </c>
      <c r="D349" s="29" t="s">
        <v>21</v>
      </c>
      <c r="E349" s="29" t="s">
        <v>27</v>
      </c>
      <c r="F349" s="29" t="s">
        <v>45</v>
      </c>
      <c r="G349" s="10">
        <v>14</v>
      </c>
      <c r="H349" s="16">
        <v>58000</v>
      </c>
      <c r="I349" s="16">
        <v>64000</v>
      </c>
      <c r="J349" s="16">
        <f>PRODUCT('Cleaned Data'!$G349,'Cleaned Data'!$I349)</f>
        <v>896000</v>
      </c>
      <c r="K349" s="16">
        <f>PRODUCT('Cleaned Data'!$G349,'Cleaned Data'!$H349)</f>
        <v>812000</v>
      </c>
      <c r="L349" s="16">
        <f>('Cleaned Data'!$J349-'Cleaned Data'!$K349)</f>
        <v>84000</v>
      </c>
      <c r="M349" s="24">
        <f>('Cleaned Data'!$L349/'Cleaned Data'!$J349)</f>
        <v>9.375E-2</v>
      </c>
      <c r="N349" s="9" t="str">
        <f>IF('Cleaned Data'!$G349&gt;10,"High-Volume","Low-Volume")</f>
        <v>High-Volume</v>
      </c>
      <c r="O349" s="9" t="str">
        <f>IF('Cleaned Data'!$I349&gt;=100000,"Premium","Standard")</f>
        <v>Standard</v>
      </c>
      <c r="P349" s="56" t="str">
        <f>IF(Zen_Elite_Shoe_Sales[[#This Row],[Revenue]]&gt;=1000000,"Top Performer","Average Performer")</f>
        <v>Average Performer</v>
      </c>
    </row>
    <row r="350" spans="1:16" x14ac:dyDescent="0.35">
      <c r="A350" s="46">
        <v>46371</v>
      </c>
      <c r="B350" s="28" t="s">
        <v>44</v>
      </c>
      <c r="C350" s="28" t="s">
        <v>41</v>
      </c>
      <c r="D350" s="28" t="s">
        <v>21</v>
      </c>
      <c r="E350" s="28" t="s">
        <v>59</v>
      </c>
      <c r="F350" s="28" t="s">
        <v>37</v>
      </c>
      <c r="G350" s="6">
        <v>6</v>
      </c>
      <c r="H350" s="15">
        <v>135000</v>
      </c>
      <c r="I350" s="15">
        <v>136800</v>
      </c>
      <c r="J350" s="15">
        <f>PRODUCT('Cleaned Data'!$G350,'Cleaned Data'!$I350)</f>
        <v>820800</v>
      </c>
      <c r="K350" s="15">
        <f>PRODUCT('Cleaned Data'!$G350,'Cleaned Data'!$H350)</f>
        <v>810000</v>
      </c>
      <c r="L350" s="15">
        <f>('Cleaned Data'!$J350-'Cleaned Data'!$K350)</f>
        <v>10800</v>
      </c>
      <c r="M350" s="23">
        <f>('Cleaned Data'!$L350/'Cleaned Data'!$J350)</f>
        <v>1.3157894736842105E-2</v>
      </c>
      <c r="N350" s="5" t="str">
        <f>IF('Cleaned Data'!$G350&gt;10,"High-Volume","Low-Volume")</f>
        <v>Low-Volume</v>
      </c>
      <c r="O350" s="5" t="str">
        <f>IF('Cleaned Data'!$I350&gt;=100000,"Premium","Standard")</f>
        <v>Premium</v>
      </c>
      <c r="P350" s="56" t="str">
        <f>IF(Zen_Elite_Shoe_Sales[[#This Row],[Revenue]]&gt;=1000000,"Top Performer","Average Performer")</f>
        <v>Average Performer</v>
      </c>
    </row>
    <row r="351" spans="1:16" x14ac:dyDescent="0.35">
      <c r="A351" s="47">
        <v>46372</v>
      </c>
      <c r="B351" s="29" t="s">
        <v>44</v>
      </c>
      <c r="C351" s="29" t="s">
        <v>41</v>
      </c>
      <c r="D351" s="29" t="s">
        <v>31</v>
      </c>
      <c r="E351" s="29" t="s">
        <v>27</v>
      </c>
      <c r="F351" s="29" t="s">
        <v>45</v>
      </c>
      <c r="G351" s="10">
        <v>8</v>
      </c>
      <c r="H351" s="16">
        <v>119000</v>
      </c>
      <c r="I351" s="16">
        <v>120800</v>
      </c>
      <c r="J351" s="16">
        <f>PRODUCT('Cleaned Data'!$G351,'Cleaned Data'!$I351)</f>
        <v>966400</v>
      </c>
      <c r="K351" s="16">
        <f>PRODUCT('Cleaned Data'!$G351,'Cleaned Data'!$H351)</f>
        <v>952000</v>
      </c>
      <c r="L351" s="16">
        <f>('Cleaned Data'!$J351-'Cleaned Data'!$K351)</f>
        <v>14400</v>
      </c>
      <c r="M351" s="24">
        <f>('Cleaned Data'!$L351/'Cleaned Data'!$J351)</f>
        <v>1.4900662251655629E-2</v>
      </c>
      <c r="N351" s="9" t="str">
        <f>IF('Cleaned Data'!$G351&gt;10,"High-Volume","Low-Volume")</f>
        <v>Low-Volume</v>
      </c>
      <c r="O351" s="9" t="str">
        <f>IF('Cleaned Data'!$I351&gt;=100000,"Premium","Standard")</f>
        <v>Premium</v>
      </c>
      <c r="P351" s="56" t="str">
        <f>IF(Zen_Elite_Shoe_Sales[[#This Row],[Revenue]]&gt;=1000000,"Top Performer","Average Performer")</f>
        <v>Average Performer</v>
      </c>
    </row>
    <row r="352" spans="1:16" x14ac:dyDescent="0.35">
      <c r="A352" s="46">
        <v>46373</v>
      </c>
      <c r="B352" s="28" t="s">
        <v>19</v>
      </c>
      <c r="C352" s="28" t="s">
        <v>50</v>
      </c>
      <c r="D352" s="28" t="s">
        <v>26</v>
      </c>
      <c r="E352" s="28" t="s">
        <v>12</v>
      </c>
      <c r="F352" s="28" t="s">
        <v>13</v>
      </c>
      <c r="G352" s="6">
        <v>11</v>
      </c>
      <c r="H352" s="15">
        <v>54000</v>
      </c>
      <c r="I352" s="15">
        <v>60000</v>
      </c>
      <c r="J352" s="15">
        <f>PRODUCT('Cleaned Data'!$G352,'Cleaned Data'!$I352)</f>
        <v>660000</v>
      </c>
      <c r="K352" s="15">
        <f>PRODUCT('Cleaned Data'!$G352,'Cleaned Data'!$H352)</f>
        <v>594000</v>
      </c>
      <c r="L352" s="15">
        <f>('Cleaned Data'!$J352-'Cleaned Data'!$K352)</f>
        <v>66000</v>
      </c>
      <c r="M352" s="23">
        <f>('Cleaned Data'!$L352/'Cleaned Data'!$J352)</f>
        <v>0.1</v>
      </c>
      <c r="N352" s="5" t="str">
        <f>IF('Cleaned Data'!$G352&gt;10,"High-Volume","Low-Volume")</f>
        <v>High-Volume</v>
      </c>
      <c r="O352" s="5" t="str">
        <f>IF('Cleaned Data'!$I352&gt;=100000,"Premium","Standard")</f>
        <v>Standard</v>
      </c>
      <c r="P352" s="56" t="str">
        <f>IF(Zen_Elite_Shoe_Sales[[#This Row],[Revenue]]&gt;=1000000,"Top Performer","Average Performer")</f>
        <v>Average Performer</v>
      </c>
    </row>
    <row r="353" spans="1:16" x14ac:dyDescent="0.35">
      <c r="A353" s="47">
        <v>46374</v>
      </c>
      <c r="B353" s="29" t="s">
        <v>64</v>
      </c>
      <c r="C353" s="29" t="s">
        <v>41</v>
      </c>
      <c r="D353" s="29" t="s">
        <v>31</v>
      </c>
      <c r="E353" s="29" t="s">
        <v>71</v>
      </c>
      <c r="F353" s="29" t="s">
        <v>23</v>
      </c>
      <c r="G353" s="10">
        <v>8</v>
      </c>
      <c r="H353" s="16">
        <v>96000</v>
      </c>
      <c r="I353" s="16">
        <v>97800</v>
      </c>
      <c r="J353" s="16">
        <f>PRODUCT('Cleaned Data'!$G353,'Cleaned Data'!$I353)</f>
        <v>782400</v>
      </c>
      <c r="K353" s="16">
        <f>PRODUCT('Cleaned Data'!$G353,'Cleaned Data'!$H353)</f>
        <v>768000</v>
      </c>
      <c r="L353" s="16">
        <f>('Cleaned Data'!$J353-'Cleaned Data'!$K353)</f>
        <v>14400</v>
      </c>
      <c r="M353" s="24">
        <f>('Cleaned Data'!$L353/'Cleaned Data'!$J353)</f>
        <v>1.8404907975460124E-2</v>
      </c>
      <c r="N353" s="9" t="str">
        <f>IF('Cleaned Data'!$G353&gt;10,"High-Volume","Low-Volume")</f>
        <v>Low-Volume</v>
      </c>
      <c r="O353" s="9" t="str">
        <f>IF('Cleaned Data'!$I353&gt;=100000,"Premium","Standard")</f>
        <v>Standard</v>
      </c>
      <c r="P353" s="56" t="str">
        <f>IF(Zen_Elite_Shoe_Sales[[#This Row],[Revenue]]&gt;=1000000,"Top Performer","Average Performer")</f>
        <v>Average Performer</v>
      </c>
    </row>
    <row r="354" spans="1:16" x14ac:dyDescent="0.35">
      <c r="A354" s="46">
        <v>46375</v>
      </c>
      <c r="B354" s="28" t="s">
        <v>34</v>
      </c>
      <c r="C354" s="28" t="s">
        <v>41</v>
      </c>
      <c r="D354" s="28" t="s">
        <v>16</v>
      </c>
      <c r="E354" s="28" t="s">
        <v>71</v>
      </c>
      <c r="F354" s="28" t="s">
        <v>28</v>
      </c>
      <c r="G354" s="6">
        <v>7</v>
      </c>
      <c r="H354" s="15">
        <v>122000</v>
      </c>
      <c r="I354" s="15">
        <v>123800</v>
      </c>
      <c r="J354" s="15">
        <f>PRODUCT('Cleaned Data'!$G354,'Cleaned Data'!$I354)</f>
        <v>866600</v>
      </c>
      <c r="K354" s="15">
        <f>PRODUCT('Cleaned Data'!$G354,'Cleaned Data'!$H354)</f>
        <v>854000</v>
      </c>
      <c r="L354" s="15">
        <f>('Cleaned Data'!$J354-'Cleaned Data'!$K354)</f>
        <v>12600</v>
      </c>
      <c r="M354" s="23">
        <f>('Cleaned Data'!$L354/'Cleaned Data'!$J354)</f>
        <v>1.4539579967689823E-2</v>
      </c>
      <c r="N354" s="5" t="str">
        <f>IF('Cleaned Data'!$G354&gt;10,"High-Volume","Low-Volume")</f>
        <v>Low-Volume</v>
      </c>
      <c r="O354" s="5" t="str">
        <f>IF('Cleaned Data'!$I354&gt;=100000,"Premium","Standard")</f>
        <v>Premium</v>
      </c>
      <c r="P354" s="56" t="str">
        <f>IF(Zen_Elite_Shoe_Sales[[#This Row],[Revenue]]&gt;=1000000,"Top Performer","Average Performer")</f>
        <v>Average Performer</v>
      </c>
    </row>
    <row r="355" spans="1:16" x14ac:dyDescent="0.35">
      <c r="A355" s="47">
        <v>46376</v>
      </c>
      <c r="B355" s="29" t="s">
        <v>73</v>
      </c>
      <c r="C355" s="29" t="s">
        <v>30</v>
      </c>
      <c r="D355" s="29" t="s">
        <v>31</v>
      </c>
      <c r="E355" s="29" t="s">
        <v>71</v>
      </c>
      <c r="F355" s="29" t="s">
        <v>23</v>
      </c>
      <c r="G355" s="10">
        <v>2</v>
      </c>
      <c r="H355" s="16">
        <v>59000</v>
      </c>
      <c r="I355" s="16">
        <v>65000</v>
      </c>
      <c r="J355" s="16">
        <f>PRODUCT('Cleaned Data'!$G355,'Cleaned Data'!$I355)</f>
        <v>130000</v>
      </c>
      <c r="K355" s="16">
        <f>PRODUCT('Cleaned Data'!$G355,'Cleaned Data'!$H355)</f>
        <v>118000</v>
      </c>
      <c r="L355" s="16">
        <f>('Cleaned Data'!$J355-'Cleaned Data'!$K355)</f>
        <v>12000</v>
      </c>
      <c r="M355" s="24">
        <f>('Cleaned Data'!$L355/'Cleaned Data'!$J355)</f>
        <v>9.2307692307692313E-2</v>
      </c>
      <c r="N355" s="9" t="str">
        <f>IF('Cleaned Data'!$G355&gt;10,"High-Volume","Low-Volume")</f>
        <v>Low-Volume</v>
      </c>
      <c r="O355" s="9" t="str">
        <f>IF('Cleaned Data'!$I355&gt;=100000,"Premium","Standard")</f>
        <v>Standard</v>
      </c>
      <c r="P355" s="56" t="str">
        <f>IF(Zen_Elite_Shoe_Sales[[#This Row],[Revenue]]&gt;=1000000,"Top Performer","Average Performer")</f>
        <v>Average Performer</v>
      </c>
    </row>
    <row r="356" spans="1:16" x14ac:dyDescent="0.35">
      <c r="A356" s="46">
        <v>46377</v>
      </c>
      <c r="B356" s="28" t="s">
        <v>34</v>
      </c>
      <c r="C356" s="28" t="s">
        <v>41</v>
      </c>
      <c r="D356" s="28" t="s">
        <v>26</v>
      </c>
      <c r="E356" s="28" t="s">
        <v>27</v>
      </c>
      <c r="F356" s="28" t="s">
        <v>56</v>
      </c>
      <c r="G356" s="6">
        <v>1</v>
      </c>
      <c r="H356" s="15">
        <v>112000</v>
      </c>
      <c r="I356" s="15">
        <v>113800</v>
      </c>
      <c r="J356" s="15">
        <f>PRODUCT('Cleaned Data'!$G356,'Cleaned Data'!$I356)</f>
        <v>113800</v>
      </c>
      <c r="K356" s="15">
        <f>PRODUCT('Cleaned Data'!$G356,'Cleaned Data'!$H356)</f>
        <v>112000</v>
      </c>
      <c r="L356" s="15">
        <f>('Cleaned Data'!$J356-'Cleaned Data'!$K356)</f>
        <v>1800</v>
      </c>
      <c r="M356" s="23">
        <f>('Cleaned Data'!$L356/'Cleaned Data'!$J356)</f>
        <v>1.5817223198594025E-2</v>
      </c>
      <c r="N356" s="5" t="str">
        <f>IF('Cleaned Data'!$G356&gt;10,"High-Volume","Low-Volume")</f>
        <v>Low-Volume</v>
      </c>
      <c r="O356" s="5" t="str">
        <f>IF('Cleaned Data'!$I356&gt;=100000,"Premium","Standard")</f>
        <v>Premium</v>
      </c>
      <c r="P356" s="56" t="str">
        <f>IF(Zen_Elite_Shoe_Sales[[#This Row],[Revenue]]&gt;=1000000,"Top Performer","Average Performer")</f>
        <v>Average Performer</v>
      </c>
    </row>
    <row r="357" spans="1:16" x14ac:dyDescent="0.35">
      <c r="A357" s="47">
        <v>46378</v>
      </c>
      <c r="B357" s="29" t="s">
        <v>73</v>
      </c>
      <c r="C357" s="29" t="s">
        <v>30</v>
      </c>
      <c r="D357" s="29" t="s">
        <v>26</v>
      </c>
      <c r="E357" s="29" t="s">
        <v>12</v>
      </c>
      <c r="F357" s="29" t="s">
        <v>63</v>
      </c>
      <c r="G357" s="10">
        <v>8</v>
      </c>
      <c r="H357" s="16">
        <v>70000</v>
      </c>
      <c r="I357" s="16">
        <v>76500</v>
      </c>
      <c r="J357" s="16">
        <f>PRODUCT('Cleaned Data'!$G357,'Cleaned Data'!$I357)</f>
        <v>612000</v>
      </c>
      <c r="K357" s="16">
        <f>PRODUCT('Cleaned Data'!$G357,'Cleaned Data'!$H357)</f>
        <v>560000</v>
      </c>
      <c r="L357" s="16">
        <f>('Cleaned Data'!$J357-'Cleaned Data'!$K357)</f>
        <v>52000</v>
      </c>
      <c r="M357" s="24">
        <f>('Cleaned Data'!$L357/'Cleaned Data'!$J357)</f>
        <v>8.4967320261437912E-2</v>
      </c>
      <c r="N357" s="9" t="str">
        <f>IF('Cleaned Data'!$G357&gt;10,"High-Volume","Low-Volume")</f>
        <v>Low-Volume</v>
      </c>
      <c r="O357" s="9" t="str">
        <f>IF('Cleaned Data'!$I357&gt;=100000,"Premium","Standard")</f>
        <v>Standard</v>
      </c>
      <c r="P357" s="56" t="str">
        <f>IF(Zen_Elite_Shoe_Sales[[#This Row],[Revenue]]&gt;=1000000,"Top Performer","Average Performer")</f>
        <v>Average Performer</v>
      </c>
    </row>
    <row r="358" spans="1:16" x14ac:dyDescent="0.35">
      <c r="A358" s="46">
        <v>46379</v>
      </c>
      <c r="B358" s="28" t="s">
        <v>67</v>
      </c>
      <c r="C358" s="28" t="s">
        <v>15</v>
      </c>
      <c r="D358" s="28" t="s">
        <v>31</v>
      </c>
      <c r="E358" s="28" t="s">
        <v>27</v>
      </c>
      <c r="F358" s="28" t="s">
        <v>18</v>
      </c>
      <c r="G358" s="6">
        <v>12</v>
      </c>
      <c r="H358" s="15">
        <v>66000</v>
      </c>
      <c r="I358" s="15">
        <v>72500</v>
      </c>
      <c r="J358" s="15">
        <f>PRODUCT('Cleaned Data'!$G358,'Cleaned Data'!$I358)</f>
        <v>870000</v>
      </c>
      <c r="K358" s="15">
        <f>PRODUCT('Cleaned Data'!$G358,'Cleaned Data'!$H358)</f>
        <v>792000</v>
      </c>
      <c r="L358" s="15">
        <f>('Cleaned Data'!$J358-'Cleaned Data'!$K358)</f>
        <v>78000</v>
      </c>
      <c r="M358" s="23">
        <f>('Cleaned Data'!$L358/'Cleaned Data'!$J358)</f>
        <v>8.9655172413793102E-2</v>
      </c>
      <c r="N358" s="5" t="str">
        <f>IF('Cleaned Data'!$G358&gt;10,"High-Volume","Low-Volume")</f>
        <v>High-Volume</v>
      </c>
      <c r="O358" s="5" t="str">
        <f>IF('Cleaned Data'!$I358&gt;=100000,"Premium","Standard")</f>
        <v>Standard</v>
      </c>
      <c r="P358" s="56" t="str">
        <f>IF(Zen_Elite_Shoe_Sales[[#This Row],[Revenue]]&gt;=1000000,"Top Performer","Average Performer")</f>
        <v>Average Performer</v>
      </c>
    </row>
    <row r="359" spans="1:16" x14ac:dyDescent="0.35">
      <c r="A359" s="47">
        <v>46380</v>
      </c>
      <c r="B359" s="29" t="s">
        <v>78</v>
      </c>
      <c r="C359" s="29" t="s">
        <v>41</v>
      </c>
      <c r="D359" s="29" t="s">
        <v>21</v>
      </c>
      <c r="E359" s="29" t="s">
        <v>59</v>
      </c>
      <c r="F359" s="29" t="s">
        <v>13</v>
      </c>
      <c r="G359" s="10">
        <v>13</v>
      </c>
      <c r="H359" s="16">
        <v>129000</v>
      </c>
      <c r="I359" s="16">
        <v>130800</v>
      </c>
      <c r="J359" s="16">
        <f>PRODUCT('Cleaned Data'!$G359,'Cleaned Data'!$I359)</f>
        <v>1700400</v>
      </c>
      <c r="K359" s="16">
        <f>PRODUCT('Cleaned Data'!$G359,'Cleaned Data'!$H359)</f>
        <v>1677000</v>
      </c>
      <c r="L359" s="16">
        <f>('Cleaned Data'!$J359-'Cleaned Data'!$K359)</f>
        <v>23400</v>
      </c>
      <c r="M359" s="24">
        <f>('Cleaned Data'!$L359/'Cleaned Data'!$J359)</f>
        <v>1.3761467889908258E-2</v>
      </c>
      <c r="N359" s="9" t="str">
        <f>IF('Cleaned Data'!$G359&gt;10,"High-Volume","Low-Volume")</f>
        <v>High-Volume</v>
      </c>
      <c r="O359" s="9" t="str">
        <f>IF('Cleaned Data'!$I359&gt;=100000,"Premium","Standard")</f>
        <v>Premium</v>
      </c>
      <c r="P359" s="56" t="str">
        <f>IF(Zen_Elite_Shoe_Sales[[#This Row],[Revenue]]&gt;=1000000,"Top Performer","Average Performer")</f>
        <v>Top Performer</v>
      </c>
    </row>
    <row r="360" spans="1:16" x14ac:dyDescent="0.35">
      <c r="A360" s="46">
        <v>46381</v>
      </c>
      <c r="B360" s="28" t="s">
        <v>64</v>
      </c>
      <c r="C360" s="28" t="s">
        <v>41</v>
      </c>
      <c r="D360" s="28" t="s">
        <v>31</v>
      </c>
      <c r="E360" s="28" t="s">
        <v>47</v>
      </c>
      <c r="F360" s="28" t="s">
        <v>13</v>
      </c>
      <c r="G360" s="6">
        <v>9</v>
      </c>
      <c r="H360" s="15">
        <v>110000</v>
      </c>
      <c r="I360" s="15">
        <v>111800</v>
      </c>
      <c r="J360" s="15">
        <f>PRODUCT('Cleaned Data'!$G360,'Cleaned Data'!$I360)</f>
        <v>1006200</v>
      </c>
      <c r="K360" s="15">
        <f>PRODUCT('Cleaned Data'!$G360,'Cleaned Data'!$H360)</f>
        <v>990000</v>
      </c>
      <c r="L360" s="15">
        <f>('Cleaned Data'!$J360-'Cleaned Data'!$K360)</f>
        <v>16200</v>
      </c>
      <c r="M360" s="23">
        <f>('Cleaned Data'!$L360/'Cleaned Data'!$J360)</f>
        <v>1.6100178890876567E-2</v>
      </c>
      <c r="N360" s="5" t="str">
        <f>IF('Cleaned Data'!$G360&gt;10,"High-Volume","Low-Volume")</f>
        <v>Low-Volume</v>
      </c>
      <c r="O360" s="5" t="str">
        <f>IF('Cleaned Data'!$I360&gt;=100000,"Premium","Standard")</f>
        <v>Premium</v>
      </c>
      <c r="P360" s="56" t="str">
        <f>IF(Zen_Elite_Shoe_Sales[[#This Row],[Revenue]]&gt;=1000000,"Top Performer","Average Performer")</f>
        <v>Top Performer</v>
      </c>
    </row>
    <row r="361" spans="1:16" x14ac:dyDescent="0.35">
      <c r="A361" s="47">
        <v>46382</v>
      </c>
      <c r="B361" s="29" t="s">
        <v>44</v>
      </c>
      <c r="C361" s="29" t="s">
        <v>41</v>
      </c>
      <c r="D361" s="29" t="s">
        <v>21</v>
      </c>
      <c r="E361" s="29" t="s">
        <v>71</v>
      </c>
      <c r="F361" s="29" t="s">
        <v>39</v>
      </c>
      <c r="G361" s="10">
        <v>5</v>
      </c>
      <c r="H361" s="16">
        <v>112000</v>
      </c>
      <c r="I361" s="16">
        <v>113800</v>
      </c>
      <c r="J361" s="16">
        <f>PRODUCT('Cleaned Data'!$G361,'Cleaned Data'!$I361)</f>
        <v>569000</v>
      </c>
      <c r="K361" s="16">
        <f>PRODUCT('Cleaned Data'!$G361,'Cleaned Data'!$H361)</f>
        <v>560000</v>
      </c>
      <c r="L361" s="16">
        <f>('Cleaned Data'!$J361-'Cleaned Data'!$K361)</f>
        <v>9000</v>
      </c>
      <c r="M361" s="24">
        <f>('Cleaned Data'!$L361/'Cleaned Data'!$J361)</f>
        <v>1.5817223198594025E-2</v>
      </c>
      <c r="N361" s="9" t="str">
        <f>IF('Cleaned Data'!$G361&gt;10,"High-Volume","Low-Volume")</f>
        <v>Low-Volume</v>
      </c>
      <c r="O361" s="9" t="str">
        <f>IF('Cleaned Data'!$I361&gt;=100000,"Premium","Standard")</f>
        <v>Premium</v>
      </c>
      <c r="P361" s="56" t="str">
        <f>IF(Zen_Elite_Shoe_Sales[[#This Row],[Revenue]]&gt;=1000000,"Top Performer","Average Performer")</f>
        <v>Average Performer</v>
      </c>
    </row>
    <row r="362" spans="1:16" x14ac:dyDescent="0.35">
      <c r="A362" s="46">
        <v>46383</v>
      </c>
      <c r="B362" s="28" t="s">
        <v>67</v>
      </c>
      <c r="C362" s="28" t="s">
        <v>15</v>
      </c>
      <c r="D362" s="28" t="s">
        <v>16</v>
      </c>
      <c r="E362" s="28" t="s">
        <v>47</v>
      </c>
      <c r="F362" s="28" t="s">
        <v>28</v>
      </c>
      <c r="G362" s="6">
        <v>10</v>
      </c>
      <c r="H362" s="15">
        <v>59000</v>
      </c>
      <c r="I362" s="15">
        <v>65000</v>
      </c>
      <c r="J362" s="15">
        <f>PRODUCT('Cleaned Data'!$G362,'Cleaned Data'!$I362)</f>
        <v>650000</v>
      </c>
      <c r="K362" s="15">
        <f>PRODUCT('Cleaned Data'!$G362,'Cleaned Data'!$H362)</f>
        <v>590000</v>
      </c>
      <c r="L362" s="15">
        <f>('Cleaned Data'!$J362-'Cleaned Data'!$K362)</f>
        <v>60000</v>
      </c>
      <c r="M362" s="23">
        <f>('Cleaned Data'!$L362/'Cleaned Data'!$J362)</f>
        <v>9.2307692307692313E-2</v>
      </c>
      <c r="N362" s="5" t="str">
        <f>IF('Cleaned Data'!$G362&gt;10,"High-Volume","Low-Volume")</f>
        <v>Low-Volume</v>
      </c>
      <c r="O362" s="5" t="str">
        <f>IF('Cleaned Data'!$I362&gt;=100000,"Premium","Standard")</f>
        <v>Standard</v>
      </c>
      <c r="P362" s="56" t="str">
        <f>IF(Zen_Elite_Shoe_Sales[[#This Row],[Revenue]]&gt;=1000000,"Top Performer","Average Performer")</f>
        <v>Average Performer</v>
      </c>
    </row>
    <row r="363" spans="1:16" x14ac:dyDescent="0.35">
      <c r="A363" s="46">
        <v>46384</v>
      </c>
      <c r="B363" s="28" t="s">
        <v>53</v>
      </c>
      <c r="C363" s="28" t="s">
        <v>15</v>
      </c>
      <c r="D363" s="28" t="s">
        <v>11</v>
      </c>
      <c r="E363" s="28" t="s">
        <v>59</v>
      </c>
      <c r="F363" s="28" t="s">
        <v>37</v>
      </c>
      <c r="G363" s="6">
        <v>14</v>
      </c>
      <c r="H363" s="15">
        <v>68000</v>
      </c>
      <c r="I363" s="15">
        <v>74500</v>
      </c>
      <c r="J363" s="15">
        <f>PRODUCT('Cleaned Data'!$G363,'Cleaned Data'!$I363)</f>
        <v>1043000</v>
      </c>
      <c r="K363" s="15">
        <f>PRODUCT('Cleaned Data'!$G363,'Cleaned Data'!$H363)</f>
        <v>952000</v>
      </c>
      <c r="L363" s="15">
        <f>('Cleaned Data'!$J363-'Cleaned Data'!$K363)</f>
        <v>91000</v>
      </c>
      <c r="M363" s="23">
        <f>('Cleaned Data'!$L363/'Cleaned Data'!$J363)</f>
        <v>8.7248322147651006E-2</v>
      </c>
      <c r="N363" s="5" t="str">
        <f>IF('Cleaned Data'!$G363&gt;10,"High-Volume","Low-Volume")</f>
        <v>High-Volume</v>
      </c>
      <c r="O363" s="5" t="str">
        <f>IF('Cleaned Data'!$I363&gt;=100000,"Premium","Standard")</f>
        <v>Standard</v>
      </c>
      <c r="P363" s="56" t="str">
        <f>IF(Zen_Elite_Shoe_Sales[[#This Row],[Revenue]]&gt;=1000000,"Top Performer","Average Performer")</f>
        <v>Top Performer</v>
      </c>
    </row>
    <row r="364" spans="1:16" x14ac:dyDescent="0.35">
      <c r="A364" s="46">
        <v>46385</v>
      </c>
      <c r="B364" s="28" t="s">
        <v>19</v>
      </c>
      <c r="C364" s="28" t="s">
        <v>50</v>
      </c>
      <c r="D364" s="28" t="s">
        <v>16</v>
      </c>
      <c r="E364" s="28" t="s">
        <v>59</v>
      </c>
      <c r="F364" s="28" t="s">
        <v>13</v>
      </c>
      <c r="G364" s="6">
        <v>13</v>
      </c>
      <c r="H364" s="15">
        <v>48000</v>
      </c>
      <c r="I364" s="15">
        <v>53000</v>
      </c>
      <c r="J364" s="15">
        <f>PRODUCT('Cleaned Data'!$G364,'Cleaned Data'!$I364)</f>
        <v>689000</v>
      </c>
      <c r="K364" s="15">
        <f>PRODUCT('Cleaned Data'!$G364,'Cleaned Data'!$H364)</f>
        <v>624000</v>
      </c>
      <c r="L364" s="15">
        <f>('Cleaned Data'!$J364-'Cleaned Data'!$K364)</f>
        <v>65000</v>
      </c>
      <c r="M364" s="23">
        <f>('Cleaned Data'!$L364/'Cleaned Data'!$J364)</f>
        <v>9.4339622641509441E-2</v>
      </c>
      <c r="N364" s="5" t="str">
        <f>IF('Cleaned Data'!$G364&gt;10,"High-Volume","Low-Volume")</f>
        <v>High-Volume</v>
      </c>
      <c r="O364" s="5" t="str">
        <f>IF('Cleaned Data'!$I364&gt;=100000,"Premium","Standard")</f>
        <v>Standard</v>
      </c>
      <c r="P364" s="56" t="str">
        <f>IF(Zen_Elite_Shoe_Sales[[#This Row],[Revenue]]&gt;=1000000,"Top Performer","Average Performer")</f>
        <v>Average Performer</v>
      </c>
    </row>
    <row r="365" spans="1:16" x14ac:dyDescent="0.35">
      <c r="A365" s="46">
        <v>46386</v>
      </c>
      <c r="B365" s="28" t="s">
        <v>53</v>
      </c>
      <c r="C365" s="28" t="s">
        <v>15</v>
      </c>
      <c r="D365" s="28" t="s">
        <v>16</v>
      </c>
      <c r="E365" s="28" t="s">
        <v>27</v>
      </c>
      <c r="F365" s="28" t="s">
        <v>52</v>
      </c>
      <c r="G365" s="6">
        <v>12</v>
      </c>
      <c r="H365" s="15">
        <v>69000</v>
      </c>
      <c r="I365" s="15">
        <v>75500</v>
      </c>
      <c r="J365" s="15">
        <f>PRODUCT('Cleaned Data'!$G365,'Cleaned Data'!$I365)</f>
        <v>906000</v>
      </c>
      <c r="K365" s="15">
        <f>PRODUCT('Cleaned Data'!$G365,'Cleaned Data'!$H365)</f>
        <v>828000</v>
      </c>
      <c r="L365" s="15">
        <f>('Cleaned Data'!$J365-'Cleaned Data'!$K365)</f>
        <v>78000</v>
      </c>
      <c r="M365" s="23">
        <f>('Cleaned Data'!$L365/'Cleaned Data'!$J365)</f>
        <v>8.6092715231788075E-2</v>
      </c>
      <c r="N365" s="5" t="str">
        <f>IF('Cleaned Data'!$G365&gt;10,"High-Volume","Low-Volume")</f>
        <v>High-Volume</v>
      </c>
      <c r="O365" s="5" t="str">
        <f>IF('Cleaned Data'!$I365&gt;=100000,"Premium","Standard")</f>
        <v>Standard</v>
      </c>
      <c r="P365" s="56" t="str">
        <f>IF(Zen_Elite_Shoe_Sales[[#This Row],[Revenue]]&gt;=1000000,"Top Performer","Average Performer")</f>
        <v>Average Performer</v>
      </c>
    </row>
    <row r="366" spans="1:16" x14ac:dyDescent="0.35">
      <c r="A366" s="46">
        <v>46387</v>
      </c>
      <c r="B366" s="28" t="s">
        <v>34</v>
      </c>
      <c r="C366" s="28" t="s">
        <v>41</v>
      </c>
      <c r="D366" s="28" t="s">
        <v>16</v>
      </c>
      <c r="E366" s="28" t="s">
        <v>27</v>
      </c>
      <c r="F366" s="28" t="s">
        <v>43</v>
      </c>
      <c r="G366" s="6">
        <v>7</v>
      </c>
      <c r="H366" s="15">
        <v>94000</v>
      </c>
      <c r="I366" s="15">
        <v>95800</v>
      </c>
      <c r="J366" s="15">
        <f>PRODUCT('Cleaned Data'!$G366,'Cleaned Data'!$I366)</f>
        <v>670600</v>
      </c>
      <c r="K366" s="15">
        <f>PRODUCT('Cleaned Data'!$G366,'Cleaned Data'!$H366)</f>
        <v>658000</v>
      </c>
      <c r="L366" s="15">
        <f>('Cleaned Data'!$J366-'Cleaned Data'!$K366)</f>
        <v>12600</v>
      </c>
      <c r="M366" s="23">
        <f>('Cleaned Data'!$L366/'Cleaned Data'!$J366)</f>
        <v>1.8789144050104383E-2</v>
      </c>
      <c r="N366" s="5" t="str">
        <f>IF('Cleaned Data'!$G366&gt;10,"High-Volume","Low-Volume")</f>
        <v>Low-Volume</v>
      </c>
      <c r="O366" s="5" t="str">
        <f>IF('Cleaned Data'!$I366&gt;=100000,"Premium","Standard")</f>
        <v>Standard</v>
      </c>
      <c r="P366" s="56" t="str">
        <f>IF(Zen_Elite_Shoe_Sales[[#This Row],[Revenue]]&gt;=1000000,"Top Performer","Average Performer")</f>
        <v>Average Performer</v>
      </c>
    </row>
    <row r="367" spans="1:16" x14ac:dyDescent="0.35">
      <c r="A367" s="46">
        <v>46388</v>
      </c>
      <c r="B367" s="28" t="s">
        <v>34</v>
      </c>
      <c r="C367" s="28" t="s">
        <v>41</v>
      </c>
      <c r="D367" s="28" t="s">
        <v>11</v>
      </c>
      <c r="E367" s="28" t="s">
        <v>12</v>
      </c>
      <c r="F367" s="28" t="s">
        <v>23</v>
      </c>
      <c r="G367" s="6">
        <v>8</v>
      </c>
      <c r="H367" s="15">
        <v>95000</v>
      </c>
      <c r="I367" s="15">
        <v>96800</v>
      </c>
      <c r="J367" s="15">
        <f>PRODUCT('Cleaned Data'!$G367,'Cleaned Data'!$I367)</f>
        <v>774400</v>
      </c>
      <c r="K367" s="15">
        <f>PRODUCT('Cleaned Data'!$G367,'Cleaned Data'!$H367)</f>
        <v>760000</v>
      </c>
      <c r="L367" s="15">
        <f>('Cleaned Data'!$J367-'Cleaned Data'!$K367)</f>
        <v>14400</v>
      </c>
      <c r="M367" s="23">
        <f>('Cleaned Data'!$L367/'Cleaned Data'!$J367)</f>
        <v>1.859504132231405E-2</v>
      </c>
      <c r="N367" s="5" t="str">
        <f>IF('Cleaned Data'!$G367&gt;10,"High-Volume","Low-Volume")</f>
        <v>Low-Volume</v>
      </c>
      <c r="O367" s="5" t="str">
        <f>IF('Cleaned Data'!$I367&gt;=100000,"Premium","Standard")</f>
        <v>Standard</v>
      </c>
      <c r="P367" s="56" t="str">
        <f>IF(Zen_Elite_Shoe_Sales[[#This Row],[Revenue]]&gt;=1000000,"Top Performer","Average Performer")</f>
        <v>Average Performer</v>
      </c>
    </row>
    <row r="368" spans="1:16" x14ac:dyDescent="0.35">
      <c r="A368" s="46">
        <v>46389</v>
      </c>
      <c r="B368" s="28" t="s">
        <v>44</v>
      </c>
      <c r="C368" s="28" t="s">
        <v>41</v>
      </c>
      <c r="D368" s="28" t="s">
        <v>11</v>
      </c>
      <c r="E368" s="28" t="s">
        <v>27</v>
      </c>
      <c r="F368" s="28" t="s">
        <v>13</v>
      </c>
      <c r="G368" s="6">
        <v>6</v>
      </c>
      <c r="H368" s="15">
        <v>137000</v>
      </c>
      <c r="I368" s="15">
        <v>138800</v>
      </c>
      <c r="J368" s="15">
        <f>PRODUCT('Cleaned Data'!$G368,'Cleaned Data'!$I368)</f>
        <v>832800</v>
      </c>
      <c r="K368" s="15">
        <f>PRODUCT('Cleaned Data'!$G368,'Cleaned Data'!$H368)</f>
        <v>822000</v>
      </c>
      <c r="L368" s="15">
        <f>('Cleaned Data'!$J368-'Cleaned Data'!$K368)</f>
        <v>10800</v>
      </c>
      <c r="M368" s="23">
        <f>('Cleaned Data'!$L368/'Cleaned Data'!$J368)</f>
        <v>1.2968299711815562E-2</v>
      </c>
      <c r="N368" s="5" t="str">
        <f>IF('Cleaned Data'!$G368&gt;10,"High-Volume","Low-Volume")</f>
        <v>Low-Volume</v>
      </c>
      <c r="O368" s="5" t="str">
        <f>IF('Cleaned Data'!$I368&gt;=100000,"Premium","Standard")</f>
        <v>Premium</v>
      </c>
      <c r="P368" s="56" t="str">
        <f>IF(Zen_Elite_Shoe_Sales[[#This Row],[Revenue]]&gt;=1000000,"Top Performer","Average Performer")</f>
        <v>Average Performer</v>
      </c>
    </row>
    <row r="369" spans="1:16" x14ac:dyDescent="0.35">
      <c r="A369" s="46">
        <v>46390</v>
      </c>
      <c r="B369" s="28" t="s">
        <v>19</v>
      </c>
      <c r="C369" s="28" t="s">
        <v>50</v>
      </c>
      <c r="D369" s="28" t="s">
        <v>11</v>
      </c>
      <c r="E369" s="28" t="s">
        <v>47</v>
      </c>
      <c r="F369" s="28" t="s">
        <v>13</v>
      </c>
      <c r="G369" s="6">
        <v>10</v>
      </c>
      <c r="H369" s="15">
        <v>43000</v>
      </c>
      <c r="I369" s="15">
        <v>48000</v>
      </c>
      <c r="J369" s="15">
        <f>PRODUCT('Cleaned Data'!$G369,'Cleaned Data'!$I369)</f>
        <v>480000</v>
      </c>
      <c r="K369" s="15">
        <f>PRODUCT('Cleaned Data'!$G369,'Cleaned Data'!$H369)</f>
        <v>430000</v>
      </c>
      <c r="L369" s="15">
        <f>('Cleaned Data'!$J369-'Cleaned Data'!$K369)</f>
        <v>50000</v>
      </c>
      <c r="M369" s="23">
        <f>('Cleaned Data'!$L369/'Cleaned Data'!$J369)</f>
        <v>0.10416666666666667</v>
      </c>
      <c r="N369" s="5" t="str">
        <f>IF('Cleaned Data'!$G369&gt;10,"High-Volume","Low-Volume")</f>
        <v>Low-Volume</v>
      </c>
      <c r="O369" s="5" t="str">
        <f>IF('Cleaned Data'!$I369&gt;=100000,"Premium","Standard")</f>
        <v>Standard</v>
      </c>
      <c r="P369" s="56" t="str">
        <f>IF(Zen_Elite_Shoe_Sales[[#This Row],[Revenue]]&gt;=1000000,"Top Performer","Average Performer")</f>
        <v>Average Performer</v>
      </c>
    </row>
    <row r="370" spans="1:16" x14ac:dyDescent="0.35">
      <c r="A370" s="46">
        <v>46391</v>
      </c>
      <c r="B370" s="28" t="s">
        <v>44</v>
      </c>
      <c r="C370" s="28" t="s">
        <v>41</v>
      </c>
      <c r="D370" s="28" t="s">
        <v>26</v>
      </c>
      <c r="E370" s="28" t="s">
        <v>47</v>
      </c>
      <c r="F370" s="28" t="s">
        <v>13</v>
      </c>
      <c r="G370" s="6">
        <v>3</v>
      </c>
      <c r="H370" s="15">
        <v>115000</v>
      </c>
      <c r="I370" s="15">
        <v>116800</v>
      </c>
      <c r="J370" s="15">
        <f>PRODUCT('Cleaned Data'!$G370,'Cleaned Data'!$I370)</f>
        <v>350400</v>
      </c>
      <c r="K370" s="15">
        <f>PRODUCT('Cleaned Data'!$G370,'Cleaned Data'!$H370)</f>
        <v>345000</v>
      </c>
      <c r="L370" s="15">
        <f>('Cleaned Data'!$J370-'Cleaned Data'!$K370)</f>
        <v>5400</v>
      </c>
      <c r="M370" s="23">
        <f>('Cleaned Data'!$L370/'Cleaned Data'!$J370)</f>
        <v>1.5410958904109588E-2</v>
      </c>
      <c r="N370" s="5" t="str">
        <f>IF('Cleaned Data'!$G370&gt;10,"High-Volume","Low-Volume")</f>
        <v>Low-Volume</v>
      </c>
      <c r="O370" s="5" t="str">
        <f>IF('Cleaned Data'!$I370&gt;=100000,"Premium","Standard")</f>
        <v>Premium</v>
      </c>
      <c r="P370" s="56" t="str">
        <f>IF(Zen_Elite_Shoe_Sales[[#This Row],[Revenue]]&gt;=1000000,"Top Performer","Average Performer")</f>
        <v>Average Performer</v>
      </c>
    </row>
    <row r="371" spans="1:16" x14ac:dyDescent="0.35">
      <c r="A371" s="46">
        <v>46392</v>
      </c>
      <c r="B371" s="28" t="s">
        <v>44</v>
      </c>
      <c r="C371" s="28" t="s">
        <v>41</v>
      </c>
      <c r="D371" s="28" t="s">
        <v>11</v>
      </c>
      <c r="E371" s="28" t="s">
        <v>27</v>
      </c>
      <c r="F371" s="28" t="s">
        <v>18</v>
      </c>
      <c r="G371" s="6">
        <v>9</v>
      </c>
      <c r="H371" s="15">
        <v>137000</v>
      </c>
      <c r="I371" s="15">
        <v>138800</v>
      </c>
      <c r="J371" s="15">
        <f>PRODUCT('Cleaned Data'!$G371,'Cleaned Data'!$I371)</f>
        <v>1249200</v>
      </c>
      <c r="K371" s="15">
        <f>PRODUCT('Cleaned Data'!$G371,'Cleaned Data'!$H371)</f>
        <v>1233000</v>
      </c>
      <c r="L371" s="15">
        <f>('Cleaned Data'!$J371-'Cleaned Data'!$K371)</f>
        <v>16200</v>
      </c>
      <c r="M371" s="23">
        <f>('Cleaned Data'!$L371/'Cleaned Data'!$J371)</f>
        <v>1.2968299711815562E-2</v>
      </c>
      <c r="N371" s="5" t="str">
        <f>IF('Cleaned Data'!$G371&gt;10,"High-Volume","Low-Volume")</f>
        <v>Low-Volume</v>
      </c>
      <c r="O371" s="5" t="str">
        <f>IF('Cleaned Data'!$I371&gt;=100000,"Premium","Standard")</f>
        <v>Premium</v>
      </c>
      <c r="P371" s="56" t="str">
        <f>IF(Zen_Elite_Shoe_Sales[[#This Row],[Revenue]]&gt;=1000000,"Top Performer","Average Performer")</f>
        <v>Top Performer</v>
      </c>
    </row>
    <row r="372" spans="1:16" x14ac:dyDescent="0.35">
      <c r="A372" s="46">
        <v>46393</v>
      </c>
      <c r="B372" s="28" t="s">
        <v>78</v>
      </c>
      <c r="C372" s="28" t="s">
        <v>41</v>
      </c>
      <c r="D372" s="28" t="s">
        <v>26</v>
      </c>
      <c r="E372" s="28" t="s">
        <v>27</v>
      </c>
      <c r="F372" s="28" t="s">
        <v>60</v>
      </c>
      <c r="G372" s="6">
        <v>10</v>
      </c>
      <c r="H372" s="15">
        <v>136000</v>
      </c>
      <c r="I372" s="15">
        <v>137800</v>
      </c>
      <c r="J372" s="15">
        <f>PRODUCT('Cleaned Data'!$G372,'Cleaned Data'!$I372)</f>
        <v>1378000</v>
      </c>
      <c r="K372" s="15">
        <f>PRODUCT('Cleaned Data'!$G372,'Cleaned Data'!$H372)</f>
        <v>1360000</v>
      </c>
      <c r="L372" s="15">
        <f>('Cleaned Data'!$J372-'Cleaned Data'!$K372)</f>
        <v>18000</v>
      </c>
      <c r="M372" s="23">
        <f>('Cleaned Data'!$L372/'Cleaned Data'!$J372)</f>
        <v>1.3062409288824383E-2</v>
      </c>
      <c r="N372" s="5" t="str">
        <f>IF('Cleaned Data'!$G372&gt;10,"High-Volume","Low-Volume")</f>
        <v>Low-Volume</v>
      </c>
      <c r="O372" s="5" t="str">
        <f>IF('Cleaned Data'!$I372&gt;=100000,"Premium","Standard")</f>
        <v>Premium</v>
      </c>
      <c r="P372" s="56" t="str">
        <f>IF(Zen_Elite_Shoe_Sales[[#This Row],[Revenue]]&gt;=1000000,"Top Performer","Average Performer")</f>
        <v>Top Performer</v>
      </c>
    </row>
    <row r="373" spans="1:16" x14ac:dyDescent="0.35">
      <c r="A373" s="46">
        <v>46394</v>
      </c>
      <c r="B373" s="28" t="s">
        <v>64</v>
      </c>
      <c r="C373" s="28" t="s">
        <v>41</v>
      </c>
      <c r="D373" s="28" t="s">
        <v>11</v>
      </c>
      <c r="E373" s="28" t="s">
        <v>12</v>
      </c>
      <c r="F373" s="28" t="s">
        <v>33</v>
      </c>
      <c r="G373" s="6">
        <v>11</v>
      </c>
      <c r="H373" s="15">
        <v>116000</v>
      </c>
      <c r="I373" s="15">
        <v>117800</v>
      </c>
      <c r="J373" s="15">
        <f>PRODUCT('Cleaned Data'!$G373,'Cleaned Data'!$I373)</f>
        <v>1295800</v>
      </c>
      <c r="K373" s="15">
        <f>PRODUCT('Cleaned Data'!$G373,'Cleaned Data'!$H373)</f>
        <v>1276000</v>
      </c>
      <c r="L373" s="15">
        <f>('Cleaned Data'!$J373-'Cleaned Data'!$K373)</f>
        <v>19800</v>
      </c>
      <c r="M373" s="23">
        <f>('Cleaned Data'!$L373/'Cleaned Data'!$J373)</f>
        <v>1.5280135823429542E-2</v>
      </c>
      <c r="N373" s="5" t="str">
        <f>IF('Cleaned Data'!$G373&gt;10,"High-Volume","Low-Volume")</f>
        <v>High-Volume</v>
      </c>
      <c r="O373" s="5" t="str">
        <f>IF('Cleaned Data'!$I373&gt;=100000,"Premium","Standard")</f>
        <v>Premium</v>
      </c>
      <c r="P373" s="56" t="str">
        <f>IF(Zen_Elite_Shoe_Sales[[#This Row],[Revenue]]&gt;=1000000,"Top Performer","Average Performer")</f>
        <v>Top Performer</v>
      </c>
    </row>
    <row r="374" spans="1:16" x14ac:dyDescent="0.35">
      <c r="A374" s="46">
        <v>46395</v>
      </c>
      <c r="B374" s="28" t="s">
        <v>73</v>
      </c>
      <c r="C374" s="28" t="s">
        <v>30</v>
      </c>
      <c r="D374" s="28" t="s">
        <v>26</v>
      </c>
      <c r="E374" s="28" t="s">
        <v>12</v>
      </c>
      <c r="F374" s="28" t="s">
        <v>63</v>
      </c>
      <c r="G374" s="6">
        <v>8</v>
      </c>
      <c r="H374" s="15">
        <v>74000</v>
      </c>
      <c r="I374" s="15">
        <v>77000</v>
      </c>
      <c r="J374" s="15">
        <f>PRODUCT('Cleaned Data'!$G374,'Cleaned Data'!$I374)</f>
        <v>616000</v>
      </c>
      <c r="K374" s="15">
        <f>PRODUCT('Cleaned Data'!$G374,'Cleaned Data'!$H374)</f>
        <v>592000</v>
      </c>
      <c r="L374" s="15">
        <f>('Cleaned Data'!$J374-'Cleaned Data'!$K374)</f>
        <v>24000</v>
      </c>
      <c r="M374" s="23">
        <f>('Cleaned Data'!$L374/'Cleaned Data'!$J374)</f>
        <v>3.896103896103896E-2</v>
      </c>
      <c r="N374" s="5" t="str">
        <f>IF('Cleaned Data'!$G374&gt;10,"High-Volume","Low-Volume")</f>
        <v>Low-Volume</v>
      </c>
      <c r="O374" s="5" t="str">
        <f>IF('Cleaned Data'!$I374&gt;=100000,"Premium","Standard")</f>
        <v>Standard</v>
      </c>
      <c r="P374" s="56" t="str">
        <f>IF(Zen_Elite_Shoe_Sales[[#This Row],[Revenue]]&gt;=1000000,"Top Performer","Average Performer")</f>
        <v>Average Performer</v>
      </c>
    </row>
    <row r="375" spans="1:16" x14ac:dyDescent="0.35">
      <c r="A375" s="46">
        <v>46396</v>
      </c>
      <c r="B375" s="28" t="s">
        <v>19</v>
      </c>
      <c r="C375" s="28" t="s">
        <v>50</v>
      </c>
      <c r="D375" s="28" t="s">
        <v>16</v>
      </c>
      <c r="E375" s="28" t="s">
        <v>71</v>
      </c>
      <c r="F375" s="28" t="s">
        <v>33</v>
      </c>
      <c r="G375" s="6">
        <v>7</v>
      </c>
      <c r="H375" s="15">
        <v>46000</v>
      </c>
      <c r="I375" s="15">
        <v>51000</v>
      </c>
      <c r="J375" s="15">
        <f>PRODUCT('Cleaned Data'!$G375,'Cleaned Data'!$I375)</f>
        <v>357000</v>
      </c>
      <c r="K375" s="15">
        <f>PRODUCT('Cleaned Data'!$G375,'Cleaned Data'!$H375)</f>
        <v>322000</v>
      </c>
      <c r="L375" s="15">
        <f>('Cleaned Data'!$J375-'Cleaned Data'!$K375)</f>
        <v>35000</v>
      </c>
      <c r="M375" s="23">
        <f>('Cleaned Data'!$L375/'Cleaned Data'!$J375)</f>
        <v>9.8039215686274508E-2</v>
      </c>
      <c r="N375" s="5" t="str">
        <f>IF('Cleaned Data'!$G375&gt;10,"High-Volume","Low-Volume")</f>
        <v>Low-Volume</v>
      </c>
      <c r="O375" s="5" t="str">
        <f>IF('Cleaned Data'!$I375&gt;=100000,"Premium","Standard")</f>
        <v>Standard</v>
      </c>
      <c r="P375" s="56" t="str">
        <f>IF(Zen_Elite_Shoe_Sales[[#This Row],[Revenue]]&gt;=1000000,"Top Performer","Average Performer")</f>
        <v>Average Performer</v>
      </c>
    </row>
    <row r="376" spans="1:16" x14ac:dyDescent="0.35">
      <c r="A376" s="46">
        <v>46397</v>
      </c>
      <c r="B376" s="28" t="s">
        <v>78</v>
      </c>
      <c r="C376" s="28" t="s">
        <v>41</v>
      </c>
      <c r="D376" s="28" t="s">
        <v>31</v>
      </c>
      <c r="E376" s="28" t="s">
        <v>12</v>
      </c>
      <c r="F376" s="28" t="s">
        <v>28</v>
      </c>
      <c r="G376" s="6">
        <v>8</v>
      </c>
      <c r="H376" s="15">
        <v>99000</v>
      </c>
      <c r="I376" s="15">
        <v>100800</v>
      </c>
      <c r="J376" s="15">
        <f>PRODUCT('Cleaned Data'!$G376,'Cleaned Data'!$I376)</f>
        <v>806400</v>
      </c>
      <c r="K376" s="15">
        <f>PRODUCT('Cleaned Data'!$G376,'Cleaned Data'!$H376)</f>
        <v>792000</v>
      </c>
      <c r="L376" s="15">
        <f>('Cleaned Data'!$J376-'Cleaned Data'!$K376)</f>
        <v>14400</v>
      </c>
      <c r="M376" s="23">
        <f>('Cleaned Data'!$L376/'Cleaned Data'!$J376)</f>
        <v>1.7857142857142856E-2</v>
      </c>
      <c r="N376" s="5" t="str">
        <f>IF('Cleaned Data'!$G376&gt;10,"High-Volume","Low-Volume")</f>
        <v>Low-Volume</v>
      </c>
      <c r="O376" s="5" t="str">
        <f>IF('Cleaned Data'!$I376&gt;=100000,"Premium","Standard")</f>
        <v>Premium</v>
      </c>
      <c r="P376" s="56" t="str">
        <f>IF(Zen_Elite_Shoe_Sales[[#This Row],[Revenue]]&gt;=1000000,"Top Performer","Average Performer")</f>
        <v>Average Performer</v>
      </c>
    </row>
    <row r="377" spans="1:16" x14ac:dyDescent="0.35">
      <c r="A377" s="46">
        <v>46398</v>
      </c>
      <c r="B377" s="28" t="s">
        <v>34</v>
      </c>
      <c r="C377" s="28" t="s">
        <v>41</v>
      </c>
      <c r="D377" s="28" t="s">
        <v>26</v>
      </c>
      <c r="E377" s="28" t="s">
        <v>12</v>
      </c>
      <c r="F377" s="28" t="s">
        <v>43</v>
      </c>
      <c r="G377" s="6">
        <v>2</v>
      </c>
      <c r="H377" s="15">
        <v>119000</v>
      </c>
      <c r="I377" s="15">
        <v>120800</v>
      </c>
      <c r="J377" s="15">
        <f>PRODUCT('Cleaned Data'!$G377,'Cleaned Data'!$I377)</f>
        <v>241600</v>
      </c>
      <c r="K377" s="15">
        <f>PRODUCT('Cleaned Data'!$G377,'Cleaned Data'!$H377)</f>
        <v>238000</v>
      </c>
      <c r="L377" s="15">
        <f>('Cleaned Data'!$J377-'Cleaned Data'!$K377)</f>
        <v>3600</v>
      </c>
      <c r="M377" s="23">
        <f>('Cleaned Data'!$L377/'Cleaned Data'!$J377)</f>
        <v>1.4900662251655629E-2</v>
      </c>
      <c r="N377" s="5" t="str">
        <f>IF('Cleaned Data'!$G377&gt;10,"High-Volume","Low-Volume")</f>
        <v>Low-Volume</v>
      </c>
      <c r="O377" s="5" t="str">
        <f>IF('Cleaned Data'!$I377&gt;=100000,"Premium","Standard")</f>
        <v>Premium</v>
      </c>
      <c r="P377" s="56" t="str">
        <f>IF(Zen_Elite_Shoe_Sales[[#This Row],[Revenue]]&gt;=1000000,"Top Performer","Average Performer")</f>
        <v>Average Performer</v>
      </c>
    </row>
    <row r="378" spans="1:16" x14ac:dyDescent="0.35">
      <c r="A378" s="46">
        <v>46399</v>
      </c>
      <c r="B378" s="28" t="s">
        <v>67</v>
      </c>
      <c r="C378" s="28" t="s">
        <v>15</v>
      </c>
      <c r="D378" s="28" t="s">
        <v>31</v>
      </c>
      <c r="E378" s="28" t="s">
        <v>71</v>
      </c>
      <c r="F378" s="28" t="s">
        <v>33</v>
      </c>
      <c r="G378" s="6">
        <v>1</v>
      </c>
      <c r="H378" s="15">
        <v>50000</v>
      </c>
      <c r="I378" s="15">
        <v>55000</v>
      </c>
      <c r="J378" s="15">
        <f>PRODUCT('Cleaned Data'!$G378,'Cleaned Data'!$I378)</f>
        <v>55000</v>
      </c>
      <c r="K378" s="15">
        <f>PRODUCT('Cleaned Data'!$G378,'Cleaned Data'!$H378)</f>
        <v>50000</v>
      </c>
      <c r="L378" s="15">
        <f>('Cleaned Data'!$J378-'Cleaned Data'!$K378)</f>
        <v>5000</v>
      </c>
      <c r="M378" s="23">
        <f>('Cleaned Data'!$L378/'Cleaned Data'!$J378)</f>
        <v>9.0909090909090912E-2</v>
      </c>
      <c r="N378" s="5" t="str">
        <f>IF('Cleaned Data'!$G378&gt;10,"High-Volume","Low-Volume")</f>
        <v>Low-Volume</v>
      </c>
      <c r="O378" s="5" t="str">
        <f>IF('Cleaned Data'!$I378&gt;=100000,"Premium","Standard")</f>
        <v>Standard</v>
      </c>
      <c r="P378" s="56" t="str">
        <f>IF(Zen_Elite_Shoe_Sales[[#This Row],[Revenue]]&gt;=1000000,"Top Performer","Average Performer")</f>
        <v>Average Performer</v>
      </c>
    </row>
    <row r="379" spans="1:16" x14ac:dyDescent="0.35">
      <c r="A379" s="46">
        <v>46400</v>
      </c>
      <c r="B379" s="28" t="s">
        <v>19</v>
      </c>
      <c r="C379" s="28" t="s">
        <v>50</v>
      </c>
      <c r="D379" s="28" t="s">
        <v>31</v>
      </c>
      <c r="E379" s="28" t="s">
        <v>47</v>
      </c>
      <c r="F379" s="28" t="s">
        <v>45</v>
      </c>
      <c r="G379" s="6">
        <v>2</v>
      </c>
      <c r="H379" s="15">
        <v>43000</v>
      </c>
      <c r="I379" s="15">
        <v>48000</v>
      </c>
      <c r="J379" s="15">
        <f>PRODUCT('Cleaned Data'!$G379,'Cleaned Data'!$I379)</f>
        <v>96000</v>
      </c>
      <c r="K379" s="15">
        <f>PRODUCT('Cleaned Data'!$G379,'Cleaned Data'!$H379)</f>
        <v>86000</v>
      </c>
      <c r="L379" s="15">
        <f>('Cleaned Data'!$J379-'Cleaned Data'!$K379)</f>
        <v>10000</v>
      </c>
      <c r="M379" s="23">
        <f>('Cleaned Data'!$L379/'Cleaned Data'!$J379)</f>
        <v>0.10416666666666667</v>
      </c>
      <c r="N379" s="5" t="str">
        <f>IF('Cleaned Data'!$G379&gt;10,"High-Volume","Low-Volume")</f>
        <v>Low-Volume</v>
      </c>
      <c r="O379" s="5" t="str">
        <f>IF('Cleaned Data'!$I379&gt;=100000,"Premium","Standard")</f>
        <v>Standard</v>
      </c>
      <c r="P379" s="56" t="str">
        <f>IF(Zen_Elite_Shoe_Sales[[#This Row],[Revenue]]&gt;=1000000,"Top Performer","Average Performer")</f>
        <v>Average Performer</v>
      </c>
    </row>
    <row r="380" spans="1:16" x14ac:dyDescent="0.35">
      <c r="A380" s="46">
        <v>46401</v>
      </c>
      <c r="B380" s="28" t="s">
        <v>64</v>
      </c>
      <c r="C380" s="28" t="s">
        <v>41</v>
      </c>
      <c r="D380" s="28" t="s">
        <v>26</v>
      </c>
      <c r="E380" s="28" t="s">
        <v>27</v>
      </c>
      <c r="F380" s="28" t="s">
        <v>23</v>
      </c>
      <c r="G380" s="6">
        <v>7</v>
      </c>
      <c r="H380" s="15">
        <v>103000</v>
      </c>
      <c r="I380" s="15">
        <v>104800</v>
      </c>
      <c r="J380" s="15">
        <f>PRODUCT('Cleaned Data'!$G380,'Cleaned Data'!$I380)</f>
        <v>733600</v>
      </c>
      <c r="K380" s="15">
        <f>PRODUCT('Cleaned Data'!$G380,'Cleaned Data'!$H380)</f>
        <v>721000</v>
      </c>
      <c r="L380" s="15">
        <f>('Cleaned Data'!$J380-'Cleaned Data'!$K380)</f>
        <v>12600</v>
      </c>
      <c r="M380" s="23">
        <f>('Cleaned Data'!$L380/'Cleaned Data'!$J380)</f>
        <v>1.717557251908397E-2</v>
      </c>
      <c r="N380" s="5" t="str">
        <f>IF('Cleaned Data'!$G380&gt;10,"High-Volume","Low-Volume")</f>
        <v>Low-Volume</v>
      </c>
      <c r="O380" s="5" t="str">
        <f>IF('Cleaned Data'!$I380&gt;=100000,"Premium","Standard")</f>
        <v>Premium</v>
      </c>
      <c r="P380" s="56" t="str">
        <f>IF(Zen_Elite_Shoe_Sales[[#This Row],[Revenue]]&gt;=1000000,"Top Performer","Average Performer")</f>
        <v>Average Performer</v>
      </c>
    </row>
    <row r="381" spans="1:16" x14ac:dyDescent="0.35">
      <c r="A381" s="47">
        <v>46402</v>
      </c>
      <c r="B381" s="29" t="s">
        <v>34</v>
      </c>
      <c r="C381" s="29" t="s">
        <v>41</v>
      </c>
      <c r="D381" s="29" t="s">
        <v>26</v>
      </c>
      <c r="E381" s="29" t="s">
        <v>12</v>
      </c>
      <c r="F381" s="29" t="s">
        <v>33</v>
      </c>
      <c r="G381" s="10">
        <v>11</v>
      </c>
      <c r="H381" s="16">
        <v>106000</v>
      </c>
      <c r="I381" s="16">
        <v>107800</v>
      </c>
      <c r="J381" s="16">
        <f>PRODUCT('Cleaned Data'!$G381,'Cleaned Data'!$I381)</f>
        <v>1185800</v>
      </c>
      <c r="K381" s="16">
        <f>PRODUCT('Cleaned Data'!$G381,'Cleaned Data'!$H381)</f>
        <v>1166000</v>
      </c>
      <c r="L381" s="16">
        <f>('Cleaned Data'!$J381-'Cleaned Data'!$K381)</f>
        <v>19800</v>
      </c>
      <c r="M381" s="24">
        <f>('Cleaned Data'!$L381/'Cleaned Data'!$J381)</f>
        <v>1.6697588126159554E-2</v>
      </c>
      <c r="N381" s="9" t="str">
        <f>IF('Cleaned Data'!$G381&gt;10,"High-Volume","Low-Volume")</f>
        <v>High-Volume</v>
      </c>
      <c r="O381" s="9" t="str">
        <f>IF('Cleaned Data'!$I381&gt;=100000,"Premium","Standard")</f>
        <v>Premium</v>
      </c>
      <c r="P381" s="56" t="str">
        <f>IF(Zen_Elite_Shoe_Sales[[#This Row],[Revenue]]&gt;=1000000,"Top Performer","Average Performer")</f>
        <v>Top Performer</v>
      </c>
    </row>
    <row r="382" spans="1:16" x14ac:dyDescent="0.35">
      <c r="A382" s="46">
        <v>46403</v>
      </c>
      <c r="B382" s="28" t="s">
        <v>44</v>
      </c>
      <c r="C382" s="28" t="s">
        <v>41</v>
      </c>
      <c r="D382" s="28" t="s">
        <v>31</v>
      </c>
      <c r="E382" s="28" t="s">
        <v>47</v>
      </c>
      <c r="F382" s="28" t="s">
        <v>43</v>
      </c>
      <c r="G382" s="6">
        <v>7</v>
      </c>
      <c r="H382" s="15">
        <v>112000</v>
      </c>
      <c r="I382" s="15">
        <v>113800</v>
      </c>
      <c r="J382" s="15">
        <f>PRODUCT('Cleaned Data'!$G382,'Cleaned Data'!$I382)</f>
        <v>796600</v>
      </c>
      <c r="K382" s="15">
        <f>PRODUCT('Cleaned Data'!$G382,'Cleaned Data'!$H382)</f>
        <v>784000</v>
      </c>
      <c r="L382" s="15">
        <f>('Cleaned Data'!$J382-'Cleaned Data'!$K382)</f>
        <v>12600</v>
      </c>
      <c r="M382" s="23">
        <f>('Cleaned Data'!$L382/'Cleaned Data'!$J382)</f>
        <v>1.5817223198594025E-2</v>
      </c>
      <c r="N382" s="5" t="str">
        <f>IF('Cleaned Data'!$G382&gt;10,"High-Volume","Low-Volume")</f>
        <v>Low-Volume</v>
      </c>
      <c r="O382" s="5" t="str">
        <f>IF('Cleaned Data'!$I382&gt;=100000,"Premium","Standard")</f>
        <v>Premium</v>
      </c>
      <c r="P382" s="56" t="str">
        <f>IF(Zen_Elite_Shoe_Sales[[#This Row],[Revenue]]&gt;=1000000,"Top Performer","Average Performer")</f>
        <v>Average Performer</v>
      </c>
    </row>
    <row r="383" spans="1:16" x14ac:dyDescent="0.35">
      <c r="A383" s="47">
        <v>46404</v>
      </c>
      <c r="B383" s="29" t="s">
        <v>19</v>
      </c>
      <c r="C383" s="29" t="s">
        <v>50</v>
      </c>
      <c r="D383" s="29" t="s">
        <v>16</v>
      </c>
      <c r="E383" s="29" t="s">
        <v>71</v>
      </c>
      <c r="F383" s="29" t="s">
        <v>23</v>
      </c>
      <c r="G383" s="10">
        <v>11</v>
      </c>
      <c r="H383" s="16">
        <v>50000</v>
      </c>
      <c r="I383" s="16">
        <v>55000</v>
      </c>
      <c r="J383" s="16">
        <f>PRODUCT('Cleaned Data'!$G383,'Cleaned Data'!$I383)</f>
        <v>605000</v>
      </c>
      <c r="K383" s="16">
        <f>PRODUCT('Cleaned Data'!$G383,'Cleaned Data'!$H383)</f>
        <v>550000</v>
      </c>
      <c r="L383" s="16">
        <f>('Cleaned Data'!$J383-'Cleaned Data'!$K383)</f>
        <v>55000</v>
      </c>
      <c r="M383" s="24">
        <f>('Cleaned Data'!$L383/'Cleaned Data'!$J383)</f>
        <v>9.0909090909090912E-2</v>
      </c>
      <c r="N383" s="9" t="str">
        <f>IF('Cleaned Data'!$G383&gt;10,"High-Volume","Low-Volume")</f>
        <v>High-Volume</v>
      </c>
      <c r="O383" s="9" t="str">
        <f>IF('Cleaned Data'!$I383&gt;=100000,"Premium","Standard")</f>
        <v>Standard</v>
      </c>
      <c r="P383" s="56" t="str">
        <f>IF(Zen_Elite_Shoe_Sales[[#This Row],[Revenue]]&gt;=1000000,"Top Performer","Average Performer")</f>
        <v>Average Performer</v>
      </c>
    </row>
    <row r="384" spans="1:16" x14ac:dyDescent="0.35">
      <c r="A384" s="46">
        <v>46405</v>
      </c>
      <c r="B384" s="28" t="s">
        <v>64</v>
      </c>
      <c r="C384" s="28" t="s">
        <v>41</v>
      </c>
      <c r="D384" s="28" t="s">
        <v>31</v>
      </c>
      <c r="E384" s="28" t="s">
        <v>59</v>
      </c>
      <c r="F384" s="28" t="s">
        <v>33</v>
      </c>
      <c r="G384" s="6">
        <v>5</v>
      </c>
      <c r="H384" s="15">
        <v>116000</v>
      </c>
      <c r="I384" s="15">
        <v>117800</v>
      </c>
      <c r="J384" s="15">
        <f>PRODUCT('Cleaned Data'!$G384,'Cleaned Data'!$I384)</f>
        <v>589000</v>
      </c>
      <c r="K384" s="15">
        <f>PRODUCT('Cleaned Data'!$G384,'Cleaned Data'!$H384)</f>
        <v>580000</v>
      </c>
      <c r="L384" s="15">
        <f>('Cleaned Data'!$J384-'Cleaned Data'!$K384)</f>
        <v>9000</v>
      </c>
      <c r="M384" s="23">
        <f>('Cleaned Data'!$L384/'Cleaned Data'!$J384)</f>
        <v>1.5280135823429542E-2</v>
      </c>
      <c r="N384" s="5" t="str">
        <f>IF('Cleaned Data'!$G384&gt;10,"High-Volume","Low-Volume")</f>
        <v>Low-Volume</v>
      </c>
      <c r="O384" s="5" t="str">
        <f>IF('Cleaned Data'!$I384&gt;=100000,"Premium","Standard")</f>
        <v>Premium</v>
      </c>
      <c r="P384" s="56" t="str">
        <f>IF(Zen_Elite_Shoe_Sales[[#This Row],[Revenue]]&gt;=1000000,"Top Performer","Average Performer")</f>
        <v>Average Performer</v>
      </c>
    </row>
    <row r="385" spans="1:16" x14ac:dyDescent="0.35">
      <c r="A385" s="46">
        <v>46406</v>
      </c>
      <c r="B385" s="28" t="s">
        <v>19</v>
      </c>
      <c r="C385" s="28" t="s">
        <v>50</v>
      </c>
      <c r="D385" s="28" t="s">
        <v>16</v>
      </c>
      <c r="E385" s="28" t="s">
        <v>12</v>
      </c>
      <c r="F385" s="28" t="s">
        <v>56</v>
      </c>
      <c r="G385" s="6">
        <v>9</v>
      </c>
      <c r="H385" s="15">
        <v>53000</v>
      </c>
      <c r="I385" s="15">
        <v>59000</v>
      </c>
      <c r="J385" s="15">
        <f>PRODUCT('Cleaned Data'!$G385,'Cleaned Data'!$I385)</f>
        <v>531000</v>
      </c>
      <c r="K385" s="15">
        <f>PRODUCT('Cleaned Data'!$G385,'Cleaned Data'!$H385)</f>
        <v>477000</v>
      </c>
      <c r="L385" s="15">
        <f>('Cleaned Data'!$J385-'Cleaned Data'!$K385)</f>
        <v>54000</v>
      </c>
      <c r="M385" s="23">
        <f>('Cleaned Data'!$L385/'Cleaned Data'!$J385)</f>
        <v>0.10169491525423729</v>
      </c>
      <c r="N385" s="5" t="str">
        <f>IF('Cleaned Data'!$G385&gt;10,"High-Volume","Low-Volume")</f>
        <v>Low-Volume</v>
      </c>
      <c r="O385" s="5" t="str">
        <f>IF('Cleaned Data'!$I385&gt;=100000,"Premium","Standard")</f>
        <v>Standard</v>
      </c>
      <c r="P385" s="56" t="str">
        <f>IF(Zen_Elite_Shoe_Sales[[#This Row],[Revenue]]&gt;=1000000,"Top Performer","Average Performer")</f>
        <v>Average Performer</v>
      </c>
    </row>
    <row r="386" spans="1:16" x14ac:dyDescent="0.35">
      <c r="A386" s="46">
        <v>46407</v>
      </c>
      <c r="B386" s="28" t="s">
        <v>78</v>
      </c>
      <c r="C386" s="28" t="s">
        <v>41</v>
      </c>
      <c r="D386" s="28" t="s">
        <v>11</v>
      </c>
      <c r="E386" s="28" t="s">
        <v>59</v>
      </c>
      <c r="F386" s="28" t="s">
        <v>28</v>
      </c>
      <c r="G386" s="6">
        <v>2</v>
      </c>
      <c r="H386" s="15">
        <v>113000</v>
      </c>
      <c r="I386" s="15">
        <v>114800</v>
      </c>
      <c r="J386" s="15">
        <f>PRODUCT('Cleaned Data'!$G386,'Cleaned Data'!$I386)</f>
        <v>229600</v>
      </c>
      <c r="K386" s="15">
        <f>PRODUCT('Cleaned Data'!$G386,'Cleaned Data'!$H386)</f>
        <v>226000</v>
      </c>
      <c r="L386" s="15">
        <f>('Cleaned Data'!$J386-'Cleaned Data'!$K386)</f>
        <v>3600</v>
      </c>
      <c r="M386" s="23">
        <f>('Cleaned Data'!$L386/'Cleaned Data'!$J386)</f>
        <v>1.5679442508710801E-2</v>
      </c>
      <c r="N386" s="5" t="str">
        <f>IF('Cleaned Data'!$G386&gt;10,"High-Volume","Low-Volume")</f>
        <v>Low-Volume</v>
      </c>
      <c r="O386" s="5" t="str">
        <f>IF('Cleaned Data'!$I386&gt;=100000,"Premium","Standard")</f>
        <v>Premium</v>
      </c>
      <c r="P386" s="56" t="str">
        <f>IF(Zen_Elite_Shoe_Sales[[#This Row],[Revenue]]&gt;=1000000,"Top Performer","Average Performer")</f>
        <v>Average Performer</v>
      </c>
    </row>
    <row r="387" spans="1:16" x14ac:dyDescent="0.35">
      <c r="A387" s="46">
        <v>46408</v>
      </c>
      <c r="B387" s="28" t="s">
        <v>64</v>
      </c>
      <c r="C387" s="28" t="s">
        <v>41</v>
      </c>
      <c r="D387" s="28" t="s">
        <v>21</v>
      </c>
      <c r="E387" s="28" t="s">
        <v>59</v>
      </c>
      <c r="F387" s="28" t="s">
        <v>48</v>
      </c>
      <c r="G387" s="6">
        <v>13</v>
      </c>
      <c r="H387" s="15">
        <v>110000</v>
      </c>
      <c r="I387" s="15">
        <v>111800</v>
      </c>
      <c r="J387" s="15">
        <f>PRODUCT('Cleaned Data'!$G387,'Cleaned Data'!$I387)</f>
        <v>1453400</v>
      </c>
      <c r="K387" s="15">
        <f>PRODUCT('Cleaned Data'!$G387,'Cleaned Data'!$H387)</f>
        <v>1430000</v>
      </c>
      <c r="L387" s="15">
        <f>('Cleaned Data'!$J387-'Cleaned Data'!$K387)</f>
        <v>23400</v>
      </c>
      <c r="M387" s="23">
        <f>('Cleaned Data'!$L387/'Cleaned Data'!$J387)</f>
        <v>1.6100178890876567E-2</v>
      </c>
      <c r="N387" s="5" t="str">
        <f>IF('Cleaned Data'!$G387&gt;10,"High-Volume","Low-Volume")</f>
        <v>High-Volume</v>
      </c>
      <c r="O387" s="5" t="str">
        <f>IF('Cleaned Data'!$I387&gt;=100000,"Premium","Standard")</f>
        <v>Premium</v>
      </c>
      <c r="P387" s="56" t="str">
        <f>IF(Zen_Elite_Shoe_Sales[[#This Row],[Revenue]]&gt;=1000000,"Top Performer","Average Performer")</f>
        <v>Top Performer</v>
      </c>
    </row>
    <row r="388" spans="1:16" x14ac:dyDescent="0.35">
      <c r="A388" s="46">
        <v>46409</v>
      </c>
      <c r="B388" s="28" t="s">
        <v>19</v>
      </c>
      <c r="C388" s="28" t="s">
        <v>50</v>
      </c>
      <c r="D388" s="28" t="s">
        <v>31</v>
      </c>
      <c r="E388" s="28" t="s">
        <v>47</v>
      </c>
      <c r="F388" s="28" t="s">
        <v>48</v>
      </c>
      <c r="G388" s="6">
        <v>5</v>
      </c>
      <c r="H388" s="15">
        <v>39000</v>
      </c>
      <c r="I388" s="15">
        <v>44000</v>
      </c>
      <c r="J388" s="15">
        <f>PRODUCT('Cleaned Data'!$G388,'Cleaned Data'!$I388)</f>
        <v>220000</v>
      </c>
      <c r="K388" s="15">
        <f>PRODUCT('Cleaned Data'!$G388,'Cleaned Data'!$H388)</f>
        <v>195000</v>
      </c>
      <c r="L388" s="15">
        <f>('Cleaned Data'!$J388-'Cleaned Data'!$K388)</f>
        <v>25000</v>
      </c>
      <c r="M388" s="23">
        <f>('Cleaned Data'!$L388/'Cleaned Data'!$J388)</f>
        <v>0.11363636363636363</v>
      </c>
      <c r="N388" s="5" t="str">
        <f>IF('Cleaned Data'!$G388&gt;10,"High-Volume","Low-Volume")</f>
        <v>Low-Volume</v>
      </c>
      <c r="O388" s="5" t="str">
        <f>IF('Cleaned Data'!$I388&gt;=100000,"Premium","Standard")</f>
        <v>Standard</v>
      </c>
      <c r="P388" s="56" t="str">
        <f>IF(Zen_Elite_Shoe_Sales[[#This Row],[Revenue]]&gt;=1000000,"Top Performer","Average Performer")</f>
        <v>Average Performer</v>
      </c>
    </row>
    <row r="389" spans="1:16" x14ac:dyDescent="0.35">
      <c r="A389" s="47">
        <v>46410</v>
      </c>
      <c r="B389" s="29" t="s">
        <v>78</v>
      </c>
      <c r="C389" s="29" t="s">
        <v>41</v>
      </c>
      <c r="D389" s="29" t="s">
        <v>16</v>
      </c>
      <c r="E389" s="29" t="s">
        <v>59</v>
      </c>
      <c r="F389" s="29" t="s">
        <v>28</v>
      </c>
      <c r="G389" s="10">
        <v>4</v>
      </c>
      <c r="H389" s="16">
        <v>109000</v>
      </c>
      <c r="I389" s="16">
        <v>110800</v>
      </c>
      <c r="J389" s="16">
        <f>PRODUCT('Cleaned Data'!$G389,'Cleaned Data'!$I389)</f>
        <v>443200</v>
      </c>
      <c r="K389" s="16">
        <f>PRODUCT('Cleaned Data'!$G389,'Cleaned Data'!$H389)</f>
        <v>436000</v>
      </c>
      <c r="L389" s="16">
        <f>('Cleaned Data'!$J389-'Cleaned Data'!$K389)</f>
        <v>7200</v>
      </c>
      <c r="M389" s="24">
        <f>('Cleaned Data'!$L389/'Cleaned Data'!$J389)</f>
        <v>1.6245487364620937E-2</v>
      </c>
      <c r="N389" s="9" t="str">
        <f>IF('Cleaned Data'!$G389&gt;10,"High-Volume","Low-Volume")</f>
        <v>Low-Volume</v>
      </c>
      <c r="O389" s="9" t="str">
        <f>IF('Cleaned Data'!$I389&gt;=100000,"Premium","Standard")</f>
        <v>Premium</v>
      </c>
      <c r="P389" s="56" t="str">
        <f>IF(Zen_Elite_Shoe_Sales[[#This Row],[Revenue]]&gt;=1000000,"Top Performer","Average Performer")</f>
        <v>Average Performer</v>
      </c>
    </row>
    <row r="390" spans="1:16" x14ac:dyDescent="0.35">
      <c r="A390" s="46">
        <v>46411</v>
      </c>
      <c r="B390" s="28" t="s">
        <v>44</v>
      </c>
      <c r="C390" s="28" t="s">
        <v>41</v>
      </c>
      <c r="D390" s="28" t="s">
        <v>21</v>
      </c>
      <c r="E390" s="28" t="s">
        <v>71</v>
      </c>
      <c r="F390" s="28" t="s">
        <v>18</v>
      </c>
      <c r="G390" s="6">
        <v>6</v>
      </c>
      <c r="H390" s="15">
        <v>100000</v>
      </c>
      <c r="I390" s="15">
        <v>101800</v>
      </c>
      <c r="J390" s="15">
        <f>PRODUCT('Cleaned Data'!$G390,'Cleaned Data'!$I390)</f>
        <v>610800</v>
      </c>
      <c r="K390" s="15">
        <f>PRODUCT('Cleaned Data'!$G390,'Cleaned Data'!$H390)</f>
        <v>600000</v>
      </c>
      <c r="L390" s="15">
        <f>('Cleaned Data'!$J390-'Cleaned Data'!$K390)</f>
        <v>10800</v>
      </c>
      <c r="M390" s="23">
        <f>('Cleaned Data'!$L390/'Cleaned Data'!$J390)</f>
        <v>1.768172888015717E-2</v>
      </c>
      <c r="N390" s="5" t="str">
        <f>IF('Cleaned Data'!$G390&gt;10,"High-Volume","Low-Volume")</f>
        <v>Low-Volume</v>
      </c>
      <c r="O390" s="5" t="str">
        <f>IF('Cleaned Data'!$I390&gt;=100000,"Premium","Standard")</f>
        <v>Premium</v>
      </c>
      <c r="P390" s="56" t="str">
        <f>IF(Zen_Elite_Shoe_Sales[[#This Row],[Revenue]]&gt;=1000000,"Top Performer","Average Performer")</f>
        <v>Average Performer</v>
      </c>
    </row>
    <row r="391" spans="1:16" x14ac:dyDescent="0.35">
      <c r="A391" s="47">
        <v>46412</v>
      </c>
      <c r="B391" s="29" t="s">
        <v>64</v>
      </c>
      <c r="C391" s="29" t="s">
        <v>41</v>
      </c>
      <c r="D391" s="29" t="s">
        <v>11</v>
      </c>
      <c r="E391" s="29" t="s">
        <v>12</v>
      </c>
      <c r="F391" s="29" t="s">
        <v>33</v>
      </c>
      <c r="G391" s="10">
        <v>7</v>
      </c>
      <c r="H391" s="16">
        <v>84000</v>
      </c>
      <c r="I391" s="16">
        <v>85800</v>
      </c>
      <c r="J391" s="16">
        <f>PRODUCT('Cleaned Data'!$G391,'Cleaned Data'!$I391)</f>
        <v>600600</v>
      </c>
      <c r="K391" s="16">
        <f>PRODUCT('Cleaned Data'!$G391,'Cleaned Data'!$H391)</f>
        <v>588000</v>
      </c>
      <c r="L391" s="16">
        <f>('Cleaned Data'!$J391-'Cleaned Data'!$K391)</f>
        <v>12600</v>
      </c>
      <c r="M391" s="24">
        <f>('Cleaned Data'!$L391/'Cleaned Data'!$J391)</f>
        <v>2.097902097902098E-2</v>
      </c>
      <c r="N391" s="9" t="str">
        <f>IF('Cleaned Data'!$G391&gt;10,"High-Volume","Low-Volume")</f>
        <v>Low-Volume</v>
      </c>
      <c r="O391" s="9" t="str">
        <f>IF('Cleaned Data'!$I391&gt;=100000,"Premium","Standard")</f>
        <v>Standard</v>
      </c>
      <c r="P391" s="56" t="str">
        <f>IF(Zen_Elite_Shoe_Sales[[#This Row],[Revenue]]&gt;=1000000,"Top Performer","Average Performer")</f>
        <v>Average Performer</v>
      </c>
    </row>
    <row r="392" spans="1:16" x14ac:dyDescent="0.35">
      <c r="A392" s="46">
        <v>46413</v>
      </c>
      <c r="B392" s="28" t="s">
        <v>34</v>
      </c>
      <c r="C392" s="28" t="s">
        <v>41</v>
      </c>
      <c r="D392" s="28" t="s">
        <v>16</v>
      </c>
      <c r="E392" s="28" t="s">
        <v>59</v>
      </c>
      <c r="F392" s="28" t="s">
        <v>39</v>
      </c>
      <c r="G392" s="6">
        <v>5</v>
      </c>
      <c r="H392" s="15">
        <v>123000</v>
      </c>
      <c r="I392" s="15">
        <v>124800</v>
      </c>
      <c r="J392" s="15">
        <f>PRODUCT('Cleaned Data'!$G392,'Cleaned Data'!$I392)</f>
        <v>624000</v>
      </c>
      <c r="K392" s="15">
        <f>PRODUCT('Cleaned Data'!$G392,'Cleaned Data'!$H392)</f>
        <v>615000</v>
      </c>
      <c r="L392" s="15">
        <f>('Cleaned Data'!$J392-'Cleaned Data'!$K392)</f>
        <v>9000</v>
      </c>
      <c r="M392" s="23">
        <f>('Cleaned Data'!$L392/'Cleaned Data'!$J392)</f>
        <v>1.4423076923076924E-2</v>
      </c>
      <c r="N392" s="5" t="str">
        <f>IF('Cleaned Data'!$G392&gt;10,"High-Volume","Low-Volume")</f>
        <v>Low-Volume</v>
      </c>
      <c r="O392" s="5" t="str">
        <f>IF('Cleaned Data'!$I392&gt;=100000,"Premium","Standard")</f>
        <v>Premium</v>
      </c>
      <c r="P392" s="56" t="str">
        <f>IF(Zen_Elite_Shoe_Sales[[#This Row],[Revenue]]&gt;=1000000,"Top Performer","Average Performer")</f>
        <v>Average Performer</v>
      </c>
    </row>
    <row r="393" spans="1:16" x14ac:dyDescent="0.35">
      <c r="A393" s="47">
        <v>46414</v>
      </c>
      <c r="B393" s="29" t="s">
        <v>64</v>
      </c>
      <c r="C393" s="29" t="s">
        <v>41</v>
      </c>
      <c r="D393" s="29" t="s">
        <v>11</v>
      </c>
      <c r="E393" s="29" t="s">
        <v>71</v>
      </c>
      <c r="F393" s="29" t="s">
        <v>56</v>
      </c>
      <c r="G393" s="10">
        <v>2</v>
      </c>
      <c r="H393" s="16">
        <v>100000</v>
      </c>
      <c r="I393" s="16">
        <v>101800</v>
      </c>
      <c r="J393" s="16">
        <f>PRODUCT('Cleaned Data'!$G393,'Cleaned Data'!$I393)</f>
        <v>203600</v>
      </c>
      <c r="K393" s="16">
        <f>PRODUCT('Cleaned Data'!$G393,'Cleaned Data'!$H393)</f>
        <v>200000</v>
      </c>
      <c r="L393" s="16">
        <f>('Cleaned Data'!$J393-'Cleaned Data'!$K393)</f>
        <v>3600</v>
      </c>
      <c r="M393" s="24">
        <f>('Cleaned Data'!$L393/'Cleaned Data'!$J393)</f>
        <v>1.768172888015717E-2</v>
      </c>
      <c r="N393" s="9" t="str">
        <f>IF('Cleaned Data'!$G393&gt;10,"High-Volume","Low-Volume")</f>
        <v>Low-Volume</v>
      </c>
      <c r="O393" s="9" t="str">
        <f>IF('Cleaned Data'!$I393&gt;=100000,"Premium","Standard")</f>
        <v>Premium</v>
      </c>
      <c r="P393" s="56" t="str">
        <f>IF(Zen_Elite_Shoe_Sales[[#This Row],[Revenue]]&gt;=1000000,"Top Performer","Average Performer")</f>
        <v>Average Performer</v>
      </c>
    </row>
    <row r="394" spans="1:16" x14ac:dyDescent="0.35">
      <c r="A394" s="46">
        <v>46415</v>
      </c>
      <c r="B394" s="28" t="s">
        <v>19</v>
      </c>
      <c r="C394" s="28" t="s">
        <v>50</v>
      </c>
      <c r="D394" s="28" t="s">
        <v>21</v>
      </c>
      <c r="E394" s="28" t="s">
        <v>27</v>
      </c>
      <c r="F394" s="28" t="s">
        <v>13</v>
      </c>
      <c r="G394" s="6">
        <v>10</v>
      </c>
      <c r="H394" s="15">
        <v>51000</v>
      </c>
      <c r="I394" s="15">
        <v>57000</v>
      </c>
      <c r="J394" s="15">
        <f>PRODUCT('Cleaned Data'!$G394,'Cleaned Data'!$I394)</f>
        <v>570000</v>
      </c>
      <c r="K394" s="15">
        <f>PRODUCT('Cleaned Data'!$G394,'Cleaned Data'!$H394)</f>
        <v>510000</v>
      </c>
      <c r="L394" s="15">
        <f>('Cleaned Data'!$J394-'Cleaned Data'!$K394)</f>
        <v>60000</v>
      </c>
      <c r="M394" s="23">
        <f>('Cleaned Data'!$L394/'Cleaned Data'!$J394)</f>
        <v>0.10526315789473684</v>
      </c>
      <c r="N394" s="5" t="str">
        <f>IF('Cleaned Data'!$G394&gt;10,"High-Volume","Low-Volume")</f>
        <v>Low-Volume</v>
      </c>
      <c r="O394" s="5" t="str">
        <f>IF('Cleaned Data'!$I394&gt;=100000,"Premium","Standard")</f>
        <v>Standard</v>
      </c>
      <c r="P394" s="56" t="str">
        <f>IF(Zen_Elite_Shoe_Sales[[#This Row],[Revenue]]&gt;=1000000,"Top Performer","Average Performer")</f>
        <v>Average Performer</v>
      </c>
    </row>
    <row r="395" spans="1:16" x14ac:dyDescent="0.35">
      <c r="A395" s="47">
        <v>46416</v>
      </c>
      <c r="B395" s="29" t="s">
        <v>53</v>
      </c>
      <c r="C395" s="29" t="s">
        <v>15</v>
      </c>
      <c r="D395" s="29" t="s">
        <v>31</v>
      </c>
      <c r="E395" s="29" t="s">
        <v>27</v>
      </c>
      <c r="F395" s="29" t="s">
        <v>37</v>
      </c>
      <c r="G395" s="10">
        <v>1</v>
      </c>
      <c r="H395" s="16">
        <v>59000</v>
      </c>
      <c r="I395" s="16">
        <v>65000</v>
      </c>
      <c r="J395" s="16">
        <f>PRODUCT('Cleaned Data'!$G395,'Cleaned Data'!$I395)</f>
        <v>65000</v>
      </c>
      <c r="K395" s="16">
        <f>PRODUCT('Cleaned Data'!$G395,'Cleaned Data'!$H395)</f>
        <v>59000</v>
      </c>
      <c r="L395" s="16">
        <f>('Cleaned Data'!$J395-'Cleaned Data'!$K395)</f>
        <v>6000</v>
      </c>
      <c r="M395" s="24">
        <f>('Cleaned Data'!$L395/'Cleaned Data'!$J395)</f>
        <v>9.2307692307692313E-2</v>
      </c>
      <c r="N395" s="9" t="str">
        <f>IF('Cleaned Data'!$G395&gt;10,"High-Volume","Low-Volume")</f>
        <v>Low-Volume</v>
      </c>
      <c r="O395" s="9" t="str">
        <f>IF('Cleaned Data'!$I395&gt;=100000,"Premium","Standard")</f>
        <v>Standard</v>
      </c>
      <c r="P395" s="56" t="str">
        <f>IF(Zen_Elite_Shoe_Sales[[#This Row],[Revenue]]&gt;=1000000,"Top Performer","Average Performer")</f>
        <v>Average Performer</v>
      </c>
    </row>
    <row r="396" spans="1:16" x14ac:dyDescent="0.35">
      <c r="A396" s="46">
        <v>46417</v>
      </c>
      <c r="B396" s="28" t="s">
        <v>34</v>
      </c>
      <c r="C396" s="28" t="s">
        <v>41</v>
      </c>
      <c r="D396" s="28" t="s">
        <v>16</v>
      </c>
      <c r="E396" s="28" t="s">
        <v>59</v>
      </c>
      <c r="F396" s="28" t="s">
        <v>39</v>
      </c>
      <c r="G396" s="6">
        <v>1</v>
      </c>
      <c r="H396" s="15">
        <v>113000</v>
      </c>
      <c r="I396" s="15">
        <v>114800</v>
      </c>
      <c r="J396" s="15">
        <f>PRODUCT('Cleaned Data'!$G396,'Cleaned Data'!$I396)</f>
        <v>114800</v>
      </c>
      <c r="K396" s="15">
        <f>PRODUCT('Cleaned Data'!$G396,'Cleaned Data'!$H396)</f>
        <v>113000</v>
      </c>
      <c r="L396" s="15">
        <f>('Cleaned Data'!$J396-'Cleaned Data'!$K396)</f>
        <v>1800</v>
      </c>
      <c r="M396" s="23">
        <f>('Cleaned Data'!$L396/'Cleaned Data'!$J396)</f>
        <v>1.5679442508710801E-2</v>
      </c>
      <c r="N396" s="5" t="str">
        <f>IF('Cleaned Data'!$G396&gt;10,"High-Volume","Low-Volume")</f>
        <v>Low-Volume</v>
      </c>
      <c r="O396" s="5" t="str">
        <f>IF('Cleaned Data'!$I396&gt;=100000,"Premium","Standard")</f>
        <v>Premium</v>
      </c>
      <c r="P396" s="56" t="str">
        <f>IF(Zen_Elite_Shoe_Sales[[#This Row],[Revenue]]&gt;=1000000,"Top Performer","Average Performer")</f>
        <v>Average Performer</v>
      </c>
    </row>
    <row r="397" spans="1:16" x14ac:dyDescent="0.35">
      <c r="A397" s="47">
        <v>46418</v>
      </c>
      <c r="B397" s="29" t="s">
        <v>34</v>
      </c>
      <c r="C397" s="29" t="s">
        <v>41</v>
      </c>
      <c r="D397" s="29" t="s">
        <v>21</v>
      </c>
      <c r="E397" s="29" t="s">
        <v>12</v>
      </c>
      <c r="F397" s="29" t="s">
        <v>39</v>
      </c>
      <c r="G397" s="10">
        <v>14</v>
      </c>
      <c r="H397" s="16">
        <v>99000</v>
      </c>
      <c r="I397" s="16">
        <v>100800</v>
      </c>
      <c r="J397" s="16">
        <f>PRODUCT('Cleaned Data'!$G397,'Cleaned Data'!$I397)</f>
        <v>1411200</v>
      </c>
      <c r="K397" s="16">
        <f>PRODUCT('Cleaned Data'!$G397,'Cleaned Data'!$H397)</f>
        <v>1386000</v>
      </c>
      <c r="L397" s="16">
        <f>('Cleaned Data'!$J397-'Cleaned Data'!$K397)</f>
        <v>25200</v>
      </c>
      <c r="M397" s="24">
        <f>('Cleaned Data'!$L397/'Cleaned Data'!$J397)</f>
        <v>1.7857142857142856E-2</v>
      </c>
      <c r="N397" s="9" t="str">
        <f>IF('Cleaned Data'!$G397&gt;10,"High-Volume","Low-Volume")</f>
        <v>High-Volume</v>
      </c>
      <c r="O397" s="9" t="str">
        <f>IF('Cleaned Data'!$I397&gt;=100000,"Premium","Standard")</f>
        <v>Premium</v>
      </c>
      <c r="P397" s="56" t="str">
        <f>IF(Zen_Elite_Shoe_Sales[[#This Row],[Revenue]]&gt;=1000000,"Top Performer","Average Performer")</f>
        <v>Top Performer</v>
      </c>
    </row>
    <row r="398" spans="1:16" x14ac:dyDescent="0.35">
      <c r="A398" s="46">
        <v>46419</v>
      </c>
      <c r="B398" s="28" t="s">
        <v>53</v>
      </c>
      <c r="C398" s="28" t="s">
        <v>15</v>
      </c>
      <c r="D398" s="28" t="s">
        <v>21</v>
      </c>
      <c r="E398" s="28" t="s">
        <v>12</v>
      </c>
      <c r="F398" s="28" t="s">
        <v>43</v>
      </c>
      <c r="G398" s="6">
        <v>13</v>
      </c>
      <c r="H398" s="15">
        <v>59000</v>
      </c>
      <c r="I398" s="15">
        <v>65000</v>
      </c>
      <c r="J398" s="15">
        <f>PRODUCT('Cleaned Data'!$G398,'Cleaned Data'!$I398)</f>
        <v>845000</v>
      </c>
      <c r="K398" s="15">
        <f>PRODUCT('Cleaned Data'!$G398,'Cleaned Data'!$H398)</f>
        <v>767000</v>
      </c>
      <c r="L398" s="15">
        <f>('Cleaned Data'!$J398-'Cleaned Data'!$K398)</f>
        <v>78000</v>
      </c>
      <c r="M398" s="23">
        <f>('Cleaned Data'!$L398/'Cleaned Data'!$J398)</f>
        <v>9.2307692307692313E-2</v>
      </c>
      <c r="N398" s="5" t="str">
        <f>IF('Cleaned Data'!$G398&gt;10,"High-Volume","Low-Volume")</f>
        <v>High-Volume</v>
      </c>
      <c r="O398" s="5" t="str">
        <f>IF('Cleaned Data'!$I398&gt;=100000,"Premium","Standard")</f>
        <v>Standard</v>
      </c>
      <c r="P398" s="56" t="str">
        <f>IF(Zen_Elite_Shoe_Sales[[#This Row],[Revenue]]&gt;=1000000,"Top Performer","Average Performer")</f>
        <v>Average Performer</v>
      </c>
    </row>
    <row r="399" spans="1:16" x14ac:dyDescent="0.35">
      <c r="A399" s="47">
        <v>46420</v>
      </c>
      <c r="B399" s="29" t="s">
        <v>44</v>
      </c>
      <c r="C399" s="29" t="s">
        <v>41</v>
      </c>
      <c r="D399" s="29" t="s">
        <v>11</v>
      </c>
      <c r="E399" s="29" t="s">
        <v>12</v>
      </c>
      <c r="F399" s="29" t="s">
        <v>43</v>
      </c>
      <c r="G399" s="10">
        <v>15</v>
      </c>
      <c r="H399" s="16">
        <v>101000</v>
      </c>
      <c r="I399" s="16">
        <v>102800</v>
      </c>
      <c r="J399" s="16">
        <f>PRODUCT('Cleaned Data'!$G399,'Cleaned Data'!$I399)</f>
        <v>1542000</v>
      </c>
      <c r="K399" s="16">
        <f>PRODUCT('Cleaned Data'!$G399,'Cleaned Data'!$H399)</f>
        <v>1515000</v>
      </c>
      <c r="L399" s="16">
        <f>('Cleaned Data'!$J399-'Cleaned Data'!$K399)</f>
        <v>27000</v>
      </c>
      <c r="M399" s="24">
        <f>('Cleaned Data'!$L399/'Cleaned Data'!$J399)</f>
        <v>1.7509727626459144E-2</v>
      </c>
      <c r="N399" s="9" t="str">
        <f>IF('Cleaned Data'!$G399&gt;10,"High-Volume","Low-Volume")</f>
        <v>High-Volume</v>
      </c>
      <c r="O399" s="9" t="str">
        <f>IF('Cleaned Data'!$I399&gt;=100000,"Premium","Standard")</f>
        <v>Premium</v>
      </c>
      <c r="P399" s="56" t="str">
        <f>IF(Zen_Elite_Shoe_Sales[[#This Row],[Revenue]]&gt;=1000000,"Top Performer","Average Performer")</f>
        <v>Top Performer</v>
      </c>
    </row>
    <row r="400" spans="1:16" x14ac:dyDescent="0.35">
      <c r="A400" s="46">
        <v>46421</v>
      </c>
      <c r="B400" s="28" t="s">
        <v>73</v>
      </c>
      <c r="C400" s="28" t="s">
        <v>30</v>
      </c>
      <c r="D400" s="28" t="s">
        <v>21</v>
      </c>
      <c r="E400" s="28" t="s">
        <v>27</v>
      </c>
      <c r="F400" s="28" t="s">
        <v>52</v>
      </c>
      <c r="G400" s="6">
        <v>14</v>
      </c>
      <c r="H400" s="15">
        <v>60000</v>
      </c>
      <c r="I400" s="15">
        <v>66000</v>
      </c>
      <c r="J400" s="15">
        <f>PRODUCT('Cleaned Data'!$G400,'Cleaned Data'!$I400)</f>
        <v>924000</v>
      </c>
      <c r="K400" s="15">
        <f>PRODUCT('Cleaned Data'!$G400,'Cleaned Data'!$H400)</f>
        <v>840000</v>
      </c>
      <c r="L400" s="15">
        <f>('Cleaned Data'!$J400-'Cleaned Data'!$K400)</f>
        <v>84000</v>
      </c>
      <c r="M400" s="23">
        <f>('Cleaned Data'!$L400/'Cleaned Data'!$J400)</f>
        <v>9.0909090909090912E-2</v>
      </c>
      <c r="N400" s="5" t="str">
        <f>IF('Cleaned Data'!$G400&gt;10,"High-Volume","Low-Volume")</f>
        <v>High-Volume</v>
      </c>
      <c r="O400" s="5" t="str">
        <f>IF('Cleaned Data'!$I400&gt;=100000,"Premium","Standard")</f>
        <v>Standard</v>
      </c>
      <c r="P400" s="56" t="str">
        <f>IF(Zen_Elite_Shoe_Sales[[#This Row],[Revenue]]&gt;=1000000,"Top Performer","Average Performer")</f>
        <v>Average Performer</v>
      </c>
    </row>
    <row r="401" spans="1:16" x14ac:dyDescent="0.35">
      <c r="A401" s="47">
        <v>46422</v>
      </c>
      <c r="B401" s="29" t="s">
        <v>34</v>
      </c>
      <c r="C401" s="29" t="s">
        <v>41</v>
      </c>
      <c r="D401" s="29" t="s">
        <v>26</v>
      </c>
      <c r="E401" s="29" t="s">
        <v>12</v>
      </c>
      <c r="F401" s="29" t="s">
        <v>39</v>
      </c>
      <c r="G401" s="10">
        <v>10</v>
      </c>
      <c r="H401" s="16">
        <v>115000</v>
      </c>
      <c r="I401" s="16">
        <v>116800</v>
      </c>
      <c r="J401" s="16">
        <f>PRODUCT('Cleaned Data'!$G401,'Cleaned Data'!$I401)</f>
        <v>1168000</v>
      </c>
      <c r="K401" s="16">
        <f>PRODUCT('Cleaned Data'!$G401,'Cleaned Data'!$H401)</f>
        <v>1150000</v>
      </c>
      <c r="L401" s="16">
        <f>('Cleaned Data'!$J401-'Cleaned Data'!$K401)</f>
        <v>18000</v>
      </c>
      <c r="M401" s="24">
        <f>('Cleaned Data'!$L401/'Cleaned Data'!$J401)</f>
        <v>1.5410958904109588E-2</v>
      </c>
      <c r="N401" s="9" t="str">
        <f>IF('Cleaned Data'!$G401&gt;10,"High-Volume","Low-Volume")</f>
        <v>Low-Volume</v>
      </c>
      <c r="O401" s="9" t="str">
        <f>IF('Cleaned Data'!$I401&gt;=100000,"Premium","Standard")</f>
        <v>Premium</v>
      </c>
      <c r="P401" s="56" t="str">
        <f>IF(Zen_Elite_Shoe_Sales[[#This Row],[Revenue]]&gt;=1000000,"Top Performer","Average Performer")</f>
        <v>Top Performer</v>
      </c>
    </row>
    <row r="402" spans="1:16" x14ac:dyDescent="0.35">
      <c r="A402" s="46">
        <v>46423</v>
      </c>
      <c r="B402" s="28" t="s">
        <v>78</v>
      </c>
      <c r="C402" s="28" t="s">
        <v>41</v>
      </c>
      <c r="D402" s="28" t="s">
        <v>26</v>
      </c>
      <c r="E402" s="28" t="s">
        <v>27</v>
      </c>
      <c r="F402" s="28" t="s">
        <v>52</v>
      </c>
      <c r="G402" s="6">
        <v>7</v>
      </c>
      <c r="H402" s="15">
        <v>101000</v>
      </c>
      <c r="I402" s="15">
        <v>102800</v>
      </c>
      <c r="J402" s="15">
        <f>PRODUCT('Cleaned Data'!$G402,'Cleaned Data'!$I402)</f>
        <v>719600</v>
      </c>
      <c r="K402" s="15">
        <f>PRODUCT('Cleaned Data'!$G402,'Cleaned Data'!$H402)</f>
        <v>707000</v>
      </c>
      <c r="L402" s="15">
        <f>('Cleaned Data'!$J402-'Cleaned Data'!$K402)</f>
        <v>12600</v>
      </c>
      <c r="M402" s="23">
        <f>('Cleaned Data'!$L402/'Cleaned Data'!$J402)</f>
        <v>1.7509727626459144E-2</v>
      </c>
      <c r="N402" s="5" t="str">
        <f>IF('Cleaned Data'!$G402&gt;10,"High-Volume","Low-Volume")</f>
        <v>Low-Volume</v>
      </c>
      <c r="O402" s="5" t="str">
        <f>IF('Cleaned Data'!$I402&gt;=100000,"Premium","Standard")</f>
        <v>Premium</v>
      </c>
      <c r="P402" s="56" t="str">
        <f>IF(Zen_Elite_Shoe_Sales[[#This Row],[Revenue]]&gt;=1000000,"Top Performer","Average Performer")</f>
        <v>Average Performer</v>
      </c>
    </row>
    <row r="403" spans="1:16" x14ac:dyDescent="0.35">
      <c r="A403" s="47">
        <v>46424</v>
      </c>
      <c r="B403" s="29" t="s">
        <v>53</v>
      </c>
      <c r="C403" s="29" t="s">
        <v>15</v>
      </c>
      <c r="D403" s="29" t="s">
        <v>16</v>
      </c>
      <c r="E403" s="29" t="s">
        <v>12</v>
      </c>
      <c r="F403" s="29" t="s">
        <v>18</v>
      </c>
      <c r="G403" s="10">
        <v>13</v>
      </c>
      <c r="H403" s="16">
        <v>53000</v>
      </c>
      <c r="I403" s="16">
        <v>59000</v>
      </c>
      <c r="J403" s="16">
        <f>PRODUCT('Cleaned Data'!$G403,'Cleaned Data'!$I403)</f>
        <v>767000</v>
      </c>
      <c r="K403" s="16">
        <f>PRODUCT('Cleaned Data'!$G403,'Cleaned Data'!$H403)</f>
        <v>689000</v>
      </c>
      <c r="L403" s="16">
        <f>('Cleaned Data'!$J403-'Cleaned Data'!$K403)</f>
        <v>78000</v>
      </c>
      <c r="M403" s="24">
        <f>('Cleaned Data'!$L403/'Cleaned Data'!$J403)</f>
        <v>0.10169491525423729</v>
      </c>
      <c r="N403" s="9" t="str">
        <f>IF('Cleaned Data'!$G403&gt;10,"High-Volume","Low-Volume")</f>
        <v>High-Volume</v>
      </c>
      <c r="O403" s="9" t="str">
        <f>IF('Cleaned Data'!$I403&gt;=100000,"Premium","Standard")</f>
        <v>Standard</v>
      </c>
      <c r="P403" s="56" t="str">
        <f>IF(Zen_Elite_Shoe_Sales[[#This Row],[Revenue]]&gt;=1000000,"Top Performer","Average Performer")</f>
        <v>Average Performer</v>
      </c>
    </row>
    <row r="404" spans="1:16" x14ac:dyDescent="0.35">
      <c r="A404" s="46">
        <v>46425</v>
      </c>
      <c r="B404" s="28" t="s">
        <v>67</v>
      </c>
      <c r="C404" s="28" t="s">
        <v>15</v>
      </c>
      <c r="D404" s="28" t="s">
        <v>31</v>
      </c>
      <c r="E404" s="28" t="s">
        <v>71</v>
      </c>
      <c r="F404" s="28" t="s">
        <v>33</v>
      </c>
      <c r="G404" s="6">
        <v>11</v>
      </c>
      <c r="H404" s="15">
        <v>53000</v>
      </c>
      <c r="I404" s="15">
        <v>59000</v>
      </c>
      <c r="J404" s="15">
        <f>PRODUCT('Cleaned Data'!$G404,'Cleaned Data'!$I404)</f>
        <v>649000</v>
      </c>
      <c r="K404" s="15">
        <f>PRODUCT('Cleaned Data'!$G404,'Cleaned Data'!$H404)</f>
        <v>583000</v>
      </c>
      <c r="L404" s="15">
        <f>('Cleaned Data'!$J404-'Cleaned Data'!$K404)</f>
        <v>66000</v>
      </c>
      <c r="M404" s="23">
        <f>('Cleaned Data'!$L404/'Cleaned Data'!$J404)</f>
        <v>0.10169491525423729</v>
      </c>
      <c r="N404" s="5" t="str">
        <f>IF('Cleaned Data'!$G404&gt;10,"High-Volume","Low-Volume")</f>
        <v>High-Volume</v>
      </c>
      <c r="O404" s="5" t="str">
        <f>IF('Cleaned Data'!$I404&gt;=100000,"Premium","Standard")</f>
        <v>Standard</v>
      </c>
      <c r="P404" s="56" t="str">
        <f>IF(Zen_Elite_Shoe_Sales[[#This Row],[Revenue]]&gt;=1000000,"Top Performer","Average Performer")</f>
        <v>Average Performer</v>
      </c>
    </row>
    <row r="405" spans="1:16" x14ac:dyDescent="0.35">
      <c r="A405" s="47">
        <v>46426</v>
      </c>
      <c r="B405" s="29" t="s">
        <v>78</v>
      </c>
      <c r="C405" s="29" t="s">
        <v>41</v>
      </c>
      <c r="D405" s="29" t="s">
        <v>31</v>
      </c>
      <c r="E405" s="29" t="s">
        <v>12</v>
      </c>
      <c r="F405" s="29" t="s">
        <v>18</v>
      </c>
      <c r="G405" s="10">
        <v>4</v>
      </c>
      <c r="H405" s="16">
        <v>122000</v>
      </c>
      <c r="I405" s="16">
        <v>123800</v>
      </c>
      <c r="J405" s="16">
        <f>PRODUCT('Cleaned Data'!$G405,'Cleaned Data'!$I405)</f>
        <v>495200</v>
      </c>
      <c r="K405" s="16">
        <f>PRODUCT('Cleaned Data'!$G405,'Cleaned Data'!$H405)</f>
        <v>488000</v>
      </c>
      <c r="L405" s="16">
        <f>('Cleaned Data'!$J405-'Cleaned Data'!$K405)</f>
        <v>7200</v>
      </c>
      <c r="M405" s="24">
        <f>('Cleaned Data'!$L405/'Cleaned Data'!$J405)</f>
        <v>1.4539579967689823E-2</v>
      </c>
      <c r="N405" s="9" t="str">
        <f>IF('Cleaned Data'!$G405&gt;10,"High-Volume","Low-Volume")</f>
        <v>Low-Volume</v>
      </c>
      <c r="O405" s="9" t="str">
        <f>IF('Cleaned Data'!$I405&gt;=100000,"Premium","Standard")</f>
        <v>Premium</v>
      </c>
      <c r="P405" s="56" t="str">
        <f>IF(Zen_Elite_Shoe_Sales[[#This Row],[Revenue]]&gt;=1000000,"Top Performer","Average Performer")</f>
        <v>Average Performer</v>
      </c>
    </row>
    <row r="406" spans="1:16" x14ac:dyDescent="0.35">
      <c r="A406" s="46">
        <v>46427</v>
      </c>
      <c r="B406" s="28" t="s">
        <v>44</v>
      </c>
      <c r="C406" s="28" t="s">
        <v>41</v>
      </c>
      <c r="D406" s="28" t="s">
        <v>26</v>
      </c>
      <c r="E406" s="28" t="s">
        <v>59</v>
      </c>
      <c r="F406" s="28" t="s">
        <v>48</v>
      </c>
      <c r="G406" s="6">
        <v>8</v>
      </c>
      <c r="H406" s="15">
        <v>108000</v>
      </c>
      <c r="I406" s="15">
        <v>109800</v>
      </c>
      <c r="J406" s="15">
        <f>PRODUCT('Cleaned Data'!$G406,'Cleaned Data'!$I406)</f>
        <v>878400</v>
      </c>
      <c r="K406" s="15">
        <f>PRODUCT('Cleaned Data'!$G406,'Cleaned Data'!$H406)</f>
        <v>864000</v>
      </c>
      <c r="L406" s="15">
        <f>('Cleaned Data'!$J406-'Cleaned Data'!$K406)</f>
        <v>14400</v>
      </c>
      <c r="M406" s="23">
        <f>('Cleaned Data'!$L406/'Cleaned Data'!$J406)</f>
        <v>1.6393442622950821E-2</v>
      </c>
      <c r="N406" s="5" t="str">
        <f>IF('Cleaned Data'!$G406&gt;10,"High-Volume","Low-Volume")</f>
        <v>Low-Volume</v>
      </c>
      <c r="O406" s="5" t="str">
        <f>IF('Cleaned Data'!$I406&gt;=100000,"Premium","Standard")</f>
        <v>Premium</v>
      </c>
      <c r="P406" s="56" t="str">
        <f>IF(Zen_Elite_Shoe_Sales[[#This Row],[Revenue]]&gt;=1000000,"Top Performer","Average Performer")</f>
        <v>Average Performer</v>
      </c>
    </row>
    <row r="407" spans="1:16" x14ac:dyDescent="0.35">
      <c r="A407" s="47">
        <v>46428</v>
      </c>
      <c r="B407" s="29" t="s">
        <v>44</v>
      </c>
      <c r="C407" s="29" t="s">
        <v>41</v>
      </c>
      <c r="D407" s="29" t="s">
        <v>31</v>
      </c>
      <c r="E407" s="29" t="s">
        <v>71</v>
      </c>
      <c r="F407" s="29" t="s">
        <v>13</v>
      </c>
      <c r="G407" s="10">
        <v>8</v>
      </c>
      <c r="H407" s="16">
        <v>125000</v>
      </c>
      <c r="I407" s="16">
        <v>126800</v>
      </c>
      <c r="J407" s="16">
        <f>PRODUCT('Cleaned Data'!$G407,'Cleaned Data'!$I407)</f>
        <v>1014400</v>
      </c>
      <c r="K407" s="16">
        <f>PRODUCT('Cleaned Data'!$G407,'Cleaned Data'!$H407)</f>
        <v>1000000</v>
      </c>
      <c r="L407" s="16">
        <f>('Cleaned Data'!$J407-'Cleaned Data'!$K407)</f>
        <v>14400</v>
      </c>
      <c r="M407" s="24">
        <f>('Cleaned Data'!$L407/'Cleaned Data'!$J407)</f>
        <v>1.4195583596214511E-2</v>
      </c>
      <c r="N407" s="9" t="str">
        <f>IF('Cleaned Data'!$G407&gt;10,"High-Volume","Low-Volume")</f>
        <v>Low-Volume</v>
      </c>
      <c r="O407" s="9" t="str">
        <f>IF('Cleaned Data'!$I407&gt;=100000,"Premium","Standard")</f>
        <v>Premium</v>
      </c>
      <c r="P407" s="56" t="str">
        <f>IF(Zen_Elite_Shoe_Sales[[#This Row],[Revenue]]&gt;=1000000,"Top Performer","Average Performer")</f>
        <v>Top Performer</v>
      </c>
    </row>
    <row r="408" spans="1:16" x14ac:dyDescent="0.35">
      <c r="A408" s="46">
        <v>46429</v>
      </c>
      <c r="B408" s="28" t="s">
        <v>19</v>
      </c>
      <c r="C408" s="28" t="s">
        <v>50</v>
      </c>
      <c r="D408" s="28" t="s">
        <v>21</v>
      </c>
      <c r="E408" s="28" t="s">
        <v>27</v>
      </c>
      <c r="F408" s="28" t="s">
        <v>23</v>
      </c>
      <c r="G408" s="6">
        <v>7</v>
      </c>
      <c r="H408" s="15">
        <v>45000</v>
      </c>
      <c r="I408" s="15">
        <v>50000</v>
      </c>
      <c r="J408" s="15">
        <f>PRODUCT('Cleaned Data'!$G408,'Cleaned Data'!$I408)</f>
        <v>350000</v>
      </c>
      <c r="K408" s="15">
        <f>PRODUCT('Cleaned Data'!$G408,'Cleaned Data'!$H408)</f>
        <v>315000</v>
      </c>
      <c r="L408" s="15">
        <f>('Cleaned Data'!$J408-'Cleaned Data'!$K408)</f>
        <v>35000</v>
      </c>
      <c r="M408" s="23">
        <f>('Cleaned Data'!$L408/'Cleaned Data'!$J408)</f>
        <v>0.1</v>
      </c>
      <c r="N408" s="5" t="str">
        <f>IF('Cleaned Data'!$G408&gt;10,"High-Volume","Low-Volume")</f>
        <v>Low-Volume</v>
      </c>
      <c r="O408" s="5" t="str">
        <f>IF('Cleaned Data'!$I408&gt;=100000,"Premium","Standard")</f>
        <v>Standard</v>
      </c>
      <c r="P408" s="56" t="str">
        <f>IF(Zen_Elite_Shoe_Sales[[#This Row],[Revenue]]&gt;=1000000,"Top Performer","Average Performer")</f>
        <v>Average Performer</v>
      </c>
    </row>
    <row r="409" spans="1:16" x14ac:dyDescent="0.35">
      <c r="A409" s="47">
        <v>46430</v>
      </c>
      <c r="B409" s="29" t="s">
        <v>19</v>
      </c>
      <c r="C409" s="29" t="s">
        <v>50</v>
      </c>
      <c r="D409" s="29" t="s">
        <v>31</v>
      </c>
      <c r="E409" s="29" t="s">
        <v>12</v>
      </c>
      <c r="F409" s="29" t="s">
        <v>28</v>
      </c>
      <c r="G409" s="10">
        <v>4</v>
      </c>
      <c r="H409" s="16">
        <v>48000</v>
      </c>
      <c r="I409" s="16">
        <v>53000</v>
      </c>
      <c r="J409" s="16">
        <f>PRODUCT('Cleaned Data'!$G409,'Cleaned Data'!$I409)</f>
        <v>212000</v>
      </c>
      <c r="K409" s="16">
        <f>PRODUCT('Cleaned Data'!$G409,'Cleaned Data'!$H409)</f>
        <v>192000</v>
      </c>
      <c r="L409" s="16">
        <f>('Cleaned Data'!$J409-'Cleaned Data'!$K409)</f>
        <v>20000</v>
      </c>
      <c r="M409" s="24">
        <f>('Cleaned Data'!$L409/'Cleaned Data'!$J409)</f>
        <v>9.4339622641509441E-2</v>
      </c>
      <c r="N409" s="9" t="str">
        <f>IF('Cleaned Data'!$G409&gt;10,"High-Volume","Low-Volume")</f>
        <v>Low-Volume</v>
      </c>
      <c r="O409" s="9" t="str">
        <f>IF('Cleaned Data'!$I409&gt;=100000,"Premium","Standard")</f>
        <v>Standard</v>
      </c>
      <c r="P409" s="56" t="str">
        <f>IF(Zen_Elite_Shoe_Sales[[#This Row],[Revenue]]&gt;=1000000,"Top Performer","Average Performer")</f>
        <v>Average Performer</v>
      </c>
    </row>
    <row r="410" spans="1:16" x14ac:dyDescent="0.35">
      <c r="A410" s="46">
        <v>46431</v>
      </c>
      <c r="B410" s="28" t="s">
        <v>19</v>
      </c>
      <c r="C410" s="28" t="s">
        <v>50</v>
      </c>
      <c r="D410" s="28" t="s">
        <v>26</v>
      </c>
      <c r="E410" s="28" t="s">
        <v>12</v>
      </c>
      <c r="F410" s="28" t="s">
        <v>33</v>
      </c>
      <c r="G410" s="6">
        <v>6</v>
      </c>
      <c r="H410" s="15">
        <v>46000</v>
      </c>
      <c r="I410" s="15">
        <v>51000</v>
      </c>
      <c r="J410" s="15">
        <f>PRODUCT('Cleaned Data'!$G410,'Cleaned Data'!$I410)</f>
        <v>306000</v>
      </c>
      <c r="K410" s="15">
        <f>PRODUCT('Cleaned Data'!$G410,'Cleaned Data'!$H410)</f>
        <v>276000</v>
      </c>
      <c r="L410" s="15">
        <f>('Cleaned Data'!$J410-'Cleaned Data'!$K410)</f>
        <v>30000</v>
      </c>
      <c r="M410" s="23">
        <f>('Cleaned Data'!$L410/'Cleaned Data'!$J410)</f>
        <v>9.8039215686274508E-2</v>
      </c>
      <c r="N410" s="5" t="str">
        <f>IF('Cleaned Data'!$G410&gt;10,"High-Volume","Low-Volume")</f>
        <v>Low-Volume</v>
      </c>
      <c r="O410" s="5" t="str">
        <f>IF('Cleaned Data'!$I410&gt;=100000,"Premium","Standard")</f>
        <v>Standard</v>
      </c>
      <c r="P410" s="56" t="str">
        <f>IF(Zen_Elite_Shoe_Sales[[#This Row],[Revenue]]&gt;=1000000,"Top Performer","Average Performer")</f>
        <v>Average Performer</v>
      </c>
    </row>
    <row r="411" spans="1:16" x14ac:dyDescent="0.35">
      <c r="A411" s="47">
        <v>46432</v>
      </c>
      <c r="B411" s="29" t="s">
        <v>64</v>
      </c>
      <c r="C411" s="29" t="s">
        <v>41</v>
      </c>
      <c r="D411" s="29" t="s">
        <v>26</v>
      </c>
      <c r="E411" s="29" t="s">
        <v>27</v>
      </c>
      <c r="F411" s="29" t="s">
        <v>39</v>
      </c>
      <c r="G411" s="10">
        <v>5</v>
      </c>
      <c r="H411" s="16">
        <v>95000</v>
      </c>
      <c r="I411" s="16">
        <v>96800</v>
      </c>
      <c r="J411" s="16">
        <f>PRODUCT('Cleaned Data'!$G411,'Cleaned Data'!$I411)</f>
        <v>484000</v>
      </c>
      <c r="K411" s="16">
        <f>PRODUCT('Cleaned Data'!$G411,'Cleaned Data'!$H411)</f>
        <v>475000</v>
      </c>
      <c r="L411" s="16">
        <f>('Cleaned Data'!$J411-'Cleaned Data'!$K411)</f>
        <v>9000</v>
      </c>
      <c r="M411" s="24">
        <f>('Cleaned Data'!$L411/'Cleaned Data'!$J411)</f>
        <v>1.859504132231405E-2</v>
      </c>
      <c r="N411" s="9" t="str">
        <f>IF('Cleaned Data'!$G411&gt;10,"High-Volume","Low-Volume")</f>
        <v>Low-Volume</v>
      </c>
      <c r="O411" s="9" t="str">
        <f>IF('Cleaned Data'!$I411&gt;=100000,"Premium","Standard")</f>
        <v>Standard</v>
      </c>
      <c r="P411" s="56" t="str">
        <f>IF(Zen_Elite_Shoe_Sales[[#This Row],[Revenue]]&gt;=1000000,"Top Performer","Average Performer")</f>
        <v>Average Performer</v>
      </c>
    </row>
    <row r="412" spans="1:16" x14ac:dyDescent="0.35">
      <c r="A412" s="46">
        <v>46433</v>
      </c>
      <c r="B412" s="28" t="s">
        <v>34</v>
      </c>
      <c r="C412" s="28" t="s">
        <v>41</v>
      </c>
      <c r="D412" s="28" t="s">
        <v>26</v>
      </c>
      <c r="E412" s="28" t="s">
        <v>27</v>
      </c>
      <c r="F412" s="28" t="s">
        <v>63</v>
      </c>
      <c r="G412" s="6">
        <v>3</v>
      </c>
      <c r="H412" s="15">
        <v>120000</v>
      </c>
      <c r="I412" s="15">
        <v>121800</v>
      </c>
      <c r="J412" s="15">
        <f>PRODUCT('Cleaned Data'!$G412,'Cleaned Data'!$I412)</f>
        <v>365400</v>
      </c>
      <c r="K412" s="15">
        <f>PRODUCT('Cleaned Data'!$G412,'Cleaned Data'!$H412)</f>
        <v>360000</v>
      </c>
      <c r="L412" s="15">
        <f>('Cleaned Data'!$J412-'Cleaned Data'!$K412)</f>
        <v>5400</v>
      </c>
      <c r="M412" s="23">
        <f>('Cleaned Data'!$L412/'Cleaned Data'!$J412)</f>
        <v>1.4778325123152709E-2</v>
      </c>
      <c r="N412" s="5" t="str">
        <f>IF('Cleaned Data'!$G412&gt;10,"High-Volume","Low-Volume")</f>
        <v>Low-Volume</v>
      </c>
      <c r="O412" s="5" t="str">
        <f>IF('Cleaned Data'!$I412&gt;=100000,"Premium","Standard")</f>
        <v>Premium</v>
      </c>
      <c r="P412" s="56" t="str">
        <f>IF(Zen_Elite_Shoe_Sales[[#This Row],[Revenue]]&gt;=1000000,"Top Performer","Average Performer")</f>
        <v>Average Performer</v>
      </c>
    </row>
    <row r="413" spans="1:16" x14ac:dyDescent="0.35">
      <c r="A413" s="47">
        <v>46434</v>
      </c>
      <c r="B413" s="29" t="s">
        <v>67</v>
      </c>
      <c r="C413" s="29" t="s">
        <v>15</v>
      </c>
      <c r="D413" s="29" t="s">
        <v>26</v>
      </c>
      <c r="E413" s="29" t="s">
        <v>47</v>
      </c>
      <c r="F413" s="29" t="s">
        <v>60</v>
      </c>
      <c r="G413" s="10">
        <v>3</v>
      </c>
      <c r="H413" s="16">
        <v>59000</v>
      </c>
      <c r="I413" s="16">
        <v>65000</v>
      </c>
      <c r="J413" s="16">
        <f>PRODUCT('Cleaned Data'!$G413,'Cleaned Data'!$I413)</f>
        <v>195000</v>
      </c>
      <c r="K413" s="16">
        <f>PRODUCT('Cleaned Data'!$G413,'Cleaned Data'!$H413)</f>
        <v>177000</v>
      </c>
      <c r="L413" s="16">
        <f>('Cleaned Data'!$J413-'Cleaned Data'!$K413)</f>
        <v>18000</v>
      </c>
      <c r="M413" s="24">
        <f>('Cleaned Data'!$L413/'Cleaned Data'!$J413)</f>
        <v>9.2307692307692313E-2</v>
      </c>
      <c r="N413" s="9" t="str">
        <f>IF('Cleaned Data'!$G413&gt;10,"High-Volume","Low-Volume")</f>
        <v>Low-Volume</v>
      </c>
      <c r="O413" s="9" t="str">
        <f>IF('Cleaned Data'!$I413&gt;=100000,"Premium","Standard")</f>
        <v>Standard</v>
      </c>
      <c r="P413" s="56" t="str">
        <f>IF(Zen_Elite_Shoe_Sales[[#This Row],[Revenue]]&gt;=1000000,"Top Performer","Average Performer")</f>
        <v>Average Performer</v>
      </c>
    </row>
    <row r="414" spans="1:16" x14ac:dyDescent="0.35">
      <c r="A414" s="46">
        <v>46435</v>
      </c>
      <c r="B414" s="28" t="s">
        <v>73</v>
      </c>
      <c r="C414" s="28" t="s">
        <v>30</v>
      </c>
      <c r="D414" s="28" t="s">
        <v>21</v>
      </c>
      <c r="E414" s="28" t="s">
        <v>12</v>
      </c>
      <c r="F414" s="28" t="s">
        <v>33</v>
      </c>
      <c r="G414" s="6">
        <v>1</v>
      </c>
      <c r="H414" s="15">
        <v>62000</v>
      </c>
      <c r="I414" s="15">
        <v>68500</v>
      </c>
      <c r="J414" s="15">
        <f>PRODUCT('Cleaned Data'!$G414,'Cleaned Data'!$I414)</f>
        <v>68500</v>
      </c>
      <c r="K414" s="15">
        <f>PRODUCT('Cleaned Data'!$G414,'Cleaned Data'!$H414)</f>
        <v>62000</v>
      </c>
      <c r="L414" s="15">
        <f>('Cleaned Data'!$J414-'Cleaned Data'!$K414)</f>
        <v>6500</v>
      </c>
      <c r="M414" s="23">
        <f>('Cleaned Data'!$L414/'Cleaned Data'!$J414)</f>
        <v>9.4890510948905105E-2</v>
      </c>
      <c r="N414" s="5" t="str">
        <f>IF('Cleaned Data'!$G414&gt;10,"High-Volume","Low-Volume")</f>
        <v>Low-Volume</v>
      </c>
      <c r="O414" s="5" t="str">
        <f>IF('Cleaned Data'!$I414&gt;=100000,"Premium","Standard")</f>
        <v>Standard</v>
      </c>
      <c r="P414" s="56" t="str">
        <f>IF(Zen_Elite_Shoe_Sales[[#This Row],[Revenue]]&gt;=1000000,"Top Performer","Average Performer")</f>
        <v>Average Performer</v>
      </c>
    </row>
    <row r="415" spans="1:16" x14ac:dyDescent="0.35">
      <c r="A415" s="47">
        <v>46436</v>
      </c>
      <c r="B415" s="29" t="s">
        <v>19</v>
      </c>
      <c r="C415" s="29" t="s">
        <v>50</v>
      </c>
      <c r="D415" s="29" t="s">
        <v>21</v>
      </c>
      <c r="E415" s="29" t="s">
        <v>12</v>
      </c>
      <c r="F415" s="29" t="s">
        <v>56</v>
      </c>
      <c r="G415" s="10">
        <v>4</v>
      </c>
      <c r="H415" s="16">
        <v>48000</v>
      </c>
      <c r="I415" s="16">
        <v>53000</v>
      </c>
      <c r="J415" s="16">
        <f>PRODUCT('Cleaned Data'!$G415,'Cleaned Data'!$I415)</f>
        <v>212000</v>
      </c>
      <c r="K415" s="16">
        <f>PRODUCT('Cleaned Data'!$G415,'Cleaned Data'!$H415)</f>
        <v>192000</v>
      </c>
      <c r="L415" s="16">
        <f>('Cleaned Data'!$J415-'Cleaned Data'!$K415)</f>
        <v>20000</v>
      </c>
      <c r="M415" s="24">
        <f>('Cleaned Data'!$L415/'Cleaned Data'!$J415)</f>
        <v>9.4339622641509441E-2</v>
      </c>
      <c r="N415" s="9" t="str">
        <f>IF('Cleaned Data'!$G415&gt;10,"High-Volume","Low-Volume")</f>
        <v>Low-Volume</v>
      </c>
      <c r="O415" s="9" t="str">
        <f>IF('Cleaned Data'!$I415&gt;=100000,"Premium","Standard")</f>
        <v>Standard</v>
      </c>
      <c r="P415" s="56" t="str">
        <f>IF(Zen_Elite_Shoe_Sales[[#This Row],[Revenue]]&gt;=1000000,"Top Performer","Average Performer")</f>
        <v>Average Performer</v>
      </c>
    </row>
    <row r="416" spans="1:16" x14ac:dyDescent="0.35">
      <c r="A416" s="46">
        <v>46437</v>
      </c>
      <c r="B416" s="28" t="s">
        <v>19</v>
      </c>
      <c r="C416" s="28" t="s">
        <v>50</v>
      </c>
      <c r="D416" s="28" t="s">
        <v>16</v>
      </c>
      <c r="E416" s="28" t="s">
        <v>27</v>
      </c>
      <c r="F416" s="28" t="s">
        <v>63</v>
      </c>
      <c r="G416" s="6">
        <v>10</v>
      </c>
      <c r="H416" s="15">
        <v>45000</v>
      </c>
      <c r="I416" s="15">
        <v>50000</v>
      </c>
      <c r="J416" s="15">
        <f>PRODUCT('Cleaned Data'!$G416,'Cleaned Data'!$I416)</f>
        <v>500000</v>
      </c>
      <c r="K416" s="15">
        <f>PRODUCT('Cleaned Data'!$G416,'Cleaned Data'!$H416)</f>
        <v>450000</v>
      </c>
      <c r="L416" s="15">
        <f>('Cleaned Data'!$J416-'Cleaned Data'!$K416)</f>
        <v>50000</v>
      </c>
      <c r="M416" s="23">
        <f>('Cleaned Data'!$L416/'Cleaned Data'!$J416)</f>
        <v>0.1</v>
      </c>
      <c r="N416" s="5" t="str">
        <f>IF('Cleaned Data'!$G416&gt;10,"High-Volume","Low-Volume")</f>
        <v>Low-Volume</v>
      </c>
      <c r="O416" s="5" t="str">
        <f>IF('Cleaned Data'!$I416&gt;=100000,"Premium","Standard")</f>
        <v>Standard</v>
      </c>
      <c r="P416" s="56" t="str">
        <f>IF(Zen_Elite_Shoe_Sales[[#This Row],[Revenue]]&gt;=1000000,"Top Performer","Average Performer")</f>
        <v>Average Performer</v>
      </c>
    </row>
    <row r="417" spans="1:16" x14ac:dyDescent="0.35">
      <c r="A417" s="47">
        <v>46438</v>
      </c>
      <c r="B417" s="29" t="s">
        <v>67</v>
      </c>
      <c r="C417" s="29" t="s">
        <v>15</v>
      </c>
      <c r="D417" s="29" t="s">
        <v>11</v>
      </c>
      <c r="E417" s="29" t="s">
        <v>47</v>
      </c>
      <c r="F417" s="29" t="s">
        <v>39</v>
      </c>
      <c r="G417" s="10">
        <v>8</v>
      </c>
      <c r="H417" s="16">
        <v>59000</v>
      </c>
      <c r="I417" s="16">
        <v>65000</v>
      </c>
      <c r="J417" s="16">
        <f>PRODUCT('Cleaned Data'!$G417,'Cleaned Data'!$I417)</f>
        <v>520000</v>
      </c>
      <c r="K417" s="16">
        <f>PRODUCT('Cleaned Data'!$G417,'Cleaned Data'!$H417)</f>
        <v>472000</v>
      </c>
      <c r="L417" s="16">
        <f>('Cleaned Data'!$J417-'Cleaned Data'!$K417)</f>
        <v>48000</v>
      </c>
      <c r="M417" s="24">
        <f>('Cleaned Data'!$L417/'Cleaned Data'!$J417)</f>
        <v>9.2307692307692313E-2</v>
      </c>
      <c r="N417" s="9" t="str">
        <f>IF('Cleaned Data'!$G417&gt;10,"High-Volume","Low-Volume")</f>
        <v>Low-Volume</v>
      </c>
      <c r="O417" s="9" t="str">
        <f>IF('Cleaned Data'!$I417&gt;=100000,"Premium","Standard")</f>
        <v>Standard</v>
      </c>
      <c r="P417" s="56" t="str">
        <f>IF(Zen_Elite_Shoe_Sales[[#This Row],[Revenue]]&gt;=1000000,"Top Performer","Average Performer")</f>
        <v>Average Performer</v>
      </c>
    </row>
    <row r="418" spans="1:16" x14ac:dyDescent="0.35">
      <c r="A418" s="46">
        <v>46439</v>
      </c>
      <c r="B418" s="28" t="s">
        <v>44</v>
      </c>
      <c r="C418" s="28" t="s">
        <v>41</v>
      </c>
      <c r="D418" s="28" t="s">
        <v>16</v>
      </c>
      <c r="E418" s="28" t="s">
        <v>12</v>
      </c>
      <c r="F418" s="28" t="s">
        <v>63</v>
      </c>
      <c r="G418" s="6">
        <v>6</v>
      </c>
      <c r="H418" s="15">
        <v>127000</v>
      </c>
      <c r="I418" s="15">
        <v>128800</v>
      </c>
      <c r="J418" s="15">
        <f>PRODUCT('Cleaned Data'!$G418,'Cleaned Data'!$I418)</f>
        <v>772800</v>
      </c>
      <c r="K418" s="15">
        <f>PRODUCT('Cleaned Data'!$G418,'Cleaned Data'!$H418)</f>
        <v>762000</v>
      </c>
      <c r="L418" s="15">
        <f>('Cleaned Data'!$J418-'Cleaned Data'!$K418)</f>
        <v>10800</v>
      </c>
      <c r="M418" s="23">
        <f>('Cleaned Data'!$L418/'Cleaned Data'!$J418)</f>
        <v>1.3975155279503106E-2</v>
      </c>
      <c r="N418" s="5" t="str">
        <f>IF('Cleaned Data'!$G418&gt;10,"High-Volume","Low-Volume")</f>
        <v>Low-Volume</v>
      </c>
      <c r="O418" s="5" t="str">
        <f>IF('Cleaned Data'!$I418&gt;=100000,"Premium","Standard")</f>
        <v>Premium</v>
      </c>
      <c r="P418" s="56" t="str">
        <f>IF(Zen_Elite_Shoe_Sales[[#This Row],[Revenue]]&gt;=1000000,"Top Performer","Average Performer")</f>
        <v>Average Performer</v>
      </c>
    </row>
    <row r="419" spans="1:16" x14ac:dyDescent="0.35">
      <c r="A419" s="47">
        <v>46440</v>
      </c>
      <c r="B419" s="29" t="s">
        <v>44</v>
      </c>
      <c r="C419" s="29" t="s">
        <v>41</v>
      </c>
      <c r="D419" s="29" t="s">
        <v>11</v>
      </c>
      <c r="E419" s="29" t="s">
        <v>47</v>
      </c>
      <c r="F419" s="29" t="s">
        <v>48</v>
      </c>
      <c r="G419" s="10">
        <v>1</v>
      </c>
      <c r="H419" s="16">
        <v>112000</v>
      </c>
      <c r="I419" s="16">
        <v>113800</v>
      </c>
      <c r="J419" s="16">
        <f>PRODUCT('Cleaned Data'!$G419,'Cleaned Data'!$I419)</f>
        <v>113800</v>
      </c>
      <c r="K419" s="16">
        <f>PRODUCT('Cleaned Data'!$G419,'Cleaned Data'!$H419)</f>
        <v>112000</v>
      </c>
      <c r="L419" s="16">
        <f>('Cleaned Data'!$J419-'Cleaned Data'!$K419)</f>
        <v>1800</v>
      </c>
      <c r="M419" s="24">
        <f>('Cleaned Data'!$L419/'Cleaned Data'!$J419)</f>
        <v>1.5817223198594025E-2</v>
      </c>
      <c r="N419" s="9" t="str">
        <f>IF('Cleaned Data'!$G419&gt;10,"High-Volume","Low-Volume")</f>
        <v>Low-Volume</v>
      </c>
      <c r="O419" s="9" t="str">
        <f>IF('Cleaned Data'!$I419&gt;=100000,"Premium","Standard")</f>
        <v>Premium</v>
      </c>
      <c r="P419" s="56" t="str">
        <f>IF(Zen_Elite_Shoe_Sales[[#This Row],[Revenue]]&gt;=1000000,"Top Performer","Average Performer")</f>
        <v>Average Performer</v>
      </c>
    </row>
    <row r="420" spans="1:16" x14ac:dyDescent="0.35">
      <c r="A420" s="46">
        <v>46441</v>
      </c>
      <c r="B420" s="28" t="s">
        <v>78</v>
      </c>
      <c r="C420" s="28" t="s">
        <v>41</v>
      </c>
      <c r="D420" s="28" t="s">
        <v>11</v>
      </c>
      <c r="E420" s="28" t="s">
        <v>47</v>
      </c>
      <c r="F420" s="28" t="s">
        <v>18</v>
      </c>
      <c r="G420" s="6">
        <v>5</v>
      </c>
      <c r="H420" s="15">
        <v>139000</v>
      </c>
      <c r="I420" s="15">
        <v>140800</v>
      </c>
      <c r="J420" s="15">
        <f>PRODUCT('Cleaned Data'!$G420,'Cleaned Data'!$I420)</f>
        <v>704000</v>
      </c>
      <c r="K420" s="15">
        <f>PRODUCT('Cleaned Data'!$G420,'Cleaned Data'!$H420)</f>
        <v>695000</v>
      </c>
      <c r="L420" s="15">
        <f>('Cleaned Data'!$J420-'Cleaned Data'!$K420)</f>
        <v>9000</v>
      </c>
      <c r="M420" s="23">
        <f>('Cleaned Data'!$L420/'Cleaned Data'!$J420)</f>
        <v>1.278409090909091E-2</v>
      </c>
      <c r="N420" s="5" t="str">
        <f>IF('Cleaned Data'!$G420&gt;10,"High-Volume","Low-Volume")</f>
        <v>Low-Volume</v>
      </c>
      <c r="O420" s="5" t="str">
        <f>IF('Cleaned Data'!$I420&gt;=100000,"Premium","Standard")</f>
        <v>Premium</v>
      </c>
      <c r="P420" s="56" t="str">
        <f>IF(Zen_Elite_Shoe_Sales[[#This Row],[Revenue]]&gt;=1000000,"Top Performer","Average Performer")</f>
        <v>Average Performer</v>
      </c>
    </row>
    <row r="421" spans="1:16" x14ac:dyDescent="0.35">
      <c r="A421" s="47">
        <v>46442</v>
      </c>
      <c r="B421" s="29" t="s">
        <v>53</v>
      </c>
      <c r="C421" s="29" t="s">
        <v>15</v>
      </c>
      <c r="D421" s="29" t="s">
        <v>11</v>
      </c>
      <c r="E421" s="29" t="s">
        <v>47</v>
      </c>
      <c r="F421" s="29" t="s">
        <v>23</v>
      </c>
      <c r="G421" s="10">
        <v>14</v>
      </c>
      <c r="H421" s="16">
        <v>70000</v>
      </c>
      <c r="I421" s="16">
        <v>76500</v>
      </c>
      <c r="J421" s="16">
        <f>PRODUCT('Cleaned Data'!$G421,'Cleaned Data'!$I421)</f>
        <v>1071000</v>
      </c>
      <c r="K421" s="16">
        <f>PRODUCT('Cleaned Data'!$G421,'Cleaned Data'!$H421)</f>
        <v>980000</v>
      </c>
      <c r="L421" s="16">
        <f>('Cleaned Data'!$J421-'Cleaned Data'!$K421)</f>
        <v>91000</v>
      </c>
      <c r="M421" s="24">
        <f>('Cleaned Data'!$L421/'Cleaned Data'!$J421)</f>
        <v>8.4967320261437912E-2</v>
      </c>
      <c r="N421" s="9" t="str">
        <f>IF('Cleaned Data'!$G421&gt;10,"High-Volume","Low-Volume")</f>
        <v>High-Volume</v>
      </c>
      <c r="O421" s="9" t="str">
        <f>IF('Cleaned Data'!$I421&gt;=100000,"Premium","Standard")</f>
        <v>Standard</v>
      </c>
      <c r="P421" s="56" t="str">
        <f>IF(Zen_Elite_Shoe_Sales[[#This Row],[Revenue]]&gt;=1000000,"Top Performer","Average Performer")</f>
        <v>Top Performer</v>
      </c>
    </row>
    <row r="422" spans="1:16" x14ac:dyDescent="0.35">
      <c r="A422" s="46">
        <v>46443</v>
      </c>
      <c r="B422" s="28" t="s">
        <v>64</v>
      </c>
      <c r="C422" s="28" t="s">
        <v>41</v>
      </c>
      <c r="D422" s="28" t="s">
        <v>11</v>
      </c>
      <c r="E422" s="28" t="s">
        <v>71</v>
      </c>
      <c r="F422" s="28" t="s">
        <v>39</v>
      </c>
      <c r="G422" s="6">
        <v>8</v>
      </c>
      <c r="H422" s="15">
        <v>116000</v>
      </c>
      <c r="I422" s="15">
        <v>117800</v>
      </c>
      <c r="J422" s="15">
        <f>PRODUCT('Cleaned Data'!$G422,'Cleaned Data'!$I422)</f>
        <v>942400</v>
      </c>
      <c r="K422" s="15">
        <f>PRODUCT('Cleaned Data'!$G422,'Cleaned Data'!$H422)</f>
        <v>928000</v>
      </c>
      <c r="L422" s="15">
        <f>('Cleaned Data'!$J422-'Cleaned Data'!$K422)</f>
        <v>14400</v>
      </c>
      <c r="M422" s="23">
        <f>('Cleaned Data'!$L422/'Cleaned Data'!$J422)</f>
        <v>1.5280135823429542E-2</v>
      </c>
      <c r="N422" s="5" t="str">
        <f>IF('Cleaned Data'!$G422&gt;10,"High-Volume","Low-Volume")</f>
        <v>Low-Volume</v>
      </c>
      <c r="O422" s="5" t="str">
        <f>IF('Cleaned Data'!$I422&gt;=100000,"Premium","Standard")</f>
        <v>Premium</v>
      </c>
      <c r="P422" s="56" t="str">
        <f>IF(Zen_Elite_Shoe_Sales[[#This Row],[Revenue]]&gt;=1000000,"Top Performer","Average Performer")</f>
        <v>Average Performer</v>
      </c>
    </row>
    <row r="423" spans="1:16" x14ac:dyDescent="0.35">
      <c r="A423" s="47">
        <v>46444</v>
      </c>
      <c r="B423" s="29" t="s">
        <v>44</v>
      </c>
      <c r="C423" s="29" t="s">
        <v>41</v>
      </c>
      <c r="D423" s="29" t="s">
        <v>31</v>
      </c>
      <c r="E423" s="29" t="s">
        <v>59</v>
      </c>
      <c r="F423" s="29" t="s">
        <v>48</v>
      </c>
      <c r="G423" s="10">
        <v>10</v>
      </c>
      <c r="H423" s="16">
        <v>112000</v>
      </c>
      <c r="I423" s="16">
        <v>113800</v>
      </c>
      <c r="J423" s="16">
        <f>PRODUCT('Cleaned Data'!$G423,'Cleaned Data'!$I423)</f>
        <v>1138000</v>
      </c>
      <c r="K423" s="16">
        <f>PRODUCT('Cleaned Data'!$G423,'Cleaned Data'!$H423)</f>
        <v>1120000</v>
      </c>
      <c r="L423" s="16">
        <f>('Cleaned Data'!$J423-'Cleaned Data'!$K423)</f>
        <v>18000</v>
      </c>
      <c r="M423" s="24">
        <f>('Cleaned Data'!$L423/'Cleaned Data'!$J423)</f>
        <v>1.5817223198594025E-2</v>
      </c>
      <c r="N423" s="9" t="str">
        <f>IF('Cleaned Data'!$G423&gt;10,"High-Volume","Low-Volume")</f>
        <v>Low-Volume</v>
      </c>
      <c r="O423" s="9" t="str">
        <f>IF('Cleaned Data'!$I423&gt;=100000,"Premium","Standard")</f>
        <v>Premium</v>
      </c>
      <c r="P423" s="56" t="str">
        <f>IF(Zen_Elite_Shoe_Sales[[#This Row],[Revenue]]&gt;=1000000,"Top Performer","Average Performer")</f>
        <v>Top Performer</v>
      </c>
    </row>
    <row r="424" spans="1:16" x14ac:dyDescent="0.35">
      <c r="A424" s="46">
        <v>46445</v>
      </c>
      <c r="B424" s="28" t="s">
        <v>64</v>
      </c>
      <c r="C424" s="28" t="s">
        <v>41</v>
      </c>
      <c r="D424" s="28" t="s">
        <v>16</v>
      </c>
      <c r="E424" s="28" t="s">
        <v>59</v>
      </c>
      <c r="F424" s="28" t="s">
        <v>37</v>
      </c>
      <c r="G424" s="6">
        <v>13</v>
      </c>
      <c r="H424" s="15">
        <v>95000</v>
      </c>
      <c r="I424" s="15">
        <v>96800</v>
      </c>
      <c r="J424" s="15">
        <f>PRODUCT('Cleaned Data'!$G424,'Cleaned Data'!$I424)</f>
        <v>1258400</v>
      </c>
      <c r="K424" s="15">
        <f>PRODUCT('Cleaned Data'!$G424,'Cleaned Data'!$H424)</f>
        <v>1235000</v>
      </c>
      <c r="L424" s="15">
        <f>('Cleaned Data'!$J424-'Cleaned Data'!$K424)</f>
        <v>23400</v>
      </c>
      <c r="M424" s="23">
        <f>('Cleaned Data'!$L424/'Cleaned Data'!$J424)</f>
        <v>1.859504132231405E-2</v>
      </c>
      <c r="N424" s="5" t="str">
        <f>IF('Cleaned Data'!$G424&gt;10,"High-Volume","Low-Volume")</f>
        <v>High-Volume</v>
      </c>
      <c r="O424" s="5" t="str">
        <f>IF('Cleaned Data'!$I424&gt;=100000,"Premium","Standard")</f>
        <v>Standard</v>
      </c>
      <c r="P424" s="56" t="str">
        <f>IF(Zen_Elite_Shoe_Sales[[#This Row],[Revenue]]&gt;=1000000,"Top Performer","Average Performer")</f>
        <v>Top Performer</v>
      </c>
    </row>
    <row r="425" spans="1:16" x14ac:dyDescent="0.35">
      <c r="A425" s="47">
        <v>46446</v>
      </c>
      <c r="B425" s="29" t="s">
        <v>78</v>
      </c>
      <c r="C425" s="29" t="s">
        <v>41</v>
      </c>
      <c r="D425" s="29" t="s">
        <v>21</v>
      </c>
      <c r="E425" s="29" t="s">
        <v>12</v>
      </c>
      <c r="F425" s="29" t="s">
        <v>63</v>
      </c>
      <c r="G425" s="10">
        <v>11</v>
      </c>
      <c r="H425" s="16">
        <v>120000</v>
      </c>
      <c r="I425" s="16">
        <v>121800</v>
      </c>
      <c r="J425" s="16">
        <f>PRODUCT('Cleaned Data'!$G425,'Cleaned Data'!$I425)</f>
        <v>1339800</v>
      </c>
      <c r="K425" s="16">
        <f>PRODUCT('Cleaned Data'!$G425,'Cleaned Data'!$H425)</f>
        <v>1320000</v>
      </c>
      <c r="L425" s="16">
        <f>('Cleaned Data'!$J425-'Cleaned Data'!$K425)</f>
        <v>19800</v>
      </c>
      <c r="M425" s="24">
        <f>('Cleaned Data'!$L425/'Cleaned Data'!$J425)</f>
        <v>1.4778325123152709E-2</v>
      </c>
      <c r="N425" s="9" t="str">
        <f>IF('Cleaned Data'!$G425&gt;10,"High-Volume","Low-Volume")</f>
        <v>High-Volume</v>
      </c>
      <c r="O425" s="9" t="str">
        <f>IF('Cleaned Data'!$I425&gt;=100000,"Premium","Standard")</f>
        <v>Premium</v>
      </c>
      <c r="P425" s="56" t="str">
        <f>IF(Zen_Elite_Shoe_Sales[[#This Row],[Revenue]]&gt;=1000000,"Top Performer","Average Performer")</f>
        <v>Top Performer</v>
      </c>
    </row>
    <row r="426" spans="1:16" x14ac:dyDescent="0.35">
      <c r="A426" s="46">
        <v>46447</v>
      </c>
      <c r="B426" s="28" t="s">
        <v>64</v>
      </c>
      <c r="C426" s="28" t="s">
        <v>41</v>
      </c>
      <c r="D426" s="28" t="s">
        <v>16</v>
      </c>
      <c r="E426" s="28" t="s">
        <v>71</v>
      </c>
      <c r="F426" s="28" t="s">
        <v>48</v>
      </c>
      <c r="G426" s="6">
        <v>8</v>
      </c>
      <c r="H426" s="15">
        <v>88000</v>
      </c>
      <c r="I426" s="15">
        <v>89800</v>
      </c>
      <c r="J426" s="15">
        <f>PRODUCT('Cleaned Data'!$G426,'Cleaned Data'!$I426)</f>
        <v>718400</v>
      </c>
      <c r="K426" s="15">
        <f>PRODUCT('Cleaned Data'!$G426,'Cleaned Data'!$H426)</f>
        <v>704000</v>
      </c>
      <c r="L426" s="15">
        <f>('Cleaned Data'!$J426-'Cleaned Data'!$K426)</f>
        <v>14400</v>
      </c>
      <c r="M426" s="23">
        <f>('Cleaned Data'!$L426/'Cleaned Data'!$J426)</f>
        <v>2.0044543429844099E-2</v>
      </c>
      <c r="N426" s="5" t="str">
        <f>IF('Cleaned Data'!$G426&gt;10,"High-Volume","Low-Volume")</f>
        <v>Low-Volume</v>
      </c>
      <c r="O426" s="5" t="str">
        <f>IF('Cleaned Data'!$I426&gt;=100000,"Premium","Standard")</f>
        <v>Standard</v>
      </c>
      <c r="P426" s="56" t="str">
        <f>IF(Zen_Elite_Shoe_Sales[[#This Row],[Revenue]]&gt;=1000000,"Top Performer","Average Performer")</f>
        <v>Average Performer</v>
      </c>
    </row>
    <row r="427" spans="1:16" x14ac:dyDescent="0.35">
      <c r="A427" s="47">
        <v>46448</v>
      </c>
      <c r="B427" s="29" t="s">
        <v>44</v>
      </c>
      <c r="C427" s="29" t="s">
        <v>41</v>
      </c>
      <c r="D427" s="29" t="s">
        <v>16</v>
      </c>
      <c r="E427" s="29" t="s">
        <v>27</v>
      </c>
      <c r="F427" s="29" t="s">
        <v>18</v>
      </c>
      <c r="G427" s="10">
        <v>2</v>
      </c>
      <c r="H427" s="16">
        <v>126000</v>
      </c>
      <c r="I427" s="16">
        <v>127800</v>
      </c>
      <c r="J427" s="16">
        <f>PRODUCT('Cleaned Data'!$G427,'Cleaned Data'!$I427)</f>
        <v>255600</v>
      </c>
      <c r="K427" s="16">
        <f>PRODUCT('Cleaned Data'!$G427,'Cleaned Data'!$H427)</f>
        <v>252000</v>
      </c>
      <c r="L427" s="16">
        <f>('Cleaned Data'!$J427-'Cleaned Data'!$K427)</f>
        <v>3600</v>
      </c>
      <c r="M427" s="24">
        <f>('Cleaned Data'!$L427/'Cleaned Data'!$J427)</f>
        <v>1.4084507042253521E-2</v>
      </c>
      <c r="N427" s="9" t="str">
        <f>IF('Cleaned Data'!$G427&gt;10,"High-Volume","Low-Volume")</f>
        <v>Low-Volume</v>
      </c>
      <c r="O427" s="9" t="str">
        <f>IF('Cleaned Data'!$I427&gt;=100000,"Premium","Standard")</f>
        <v>Premium</v>
      </c>
      <c r="P427" s="56" t="str">
        <f>IF(Zen_Elite_Shoe_Sales[[#This Row],[Revenue]]&gt;=1000000,"Top Performer","Average Performer")</f>
        <v>Average Performer</v>
      </c>
    </row>
    <row r="428" spans="1:16" x14ac:dyDescent="0.35">
      <c r="A428" s="46">
        <v>46449</v>
      </c>
      <c r="B428" s="28" t="s">
        <v>73</v>
      </c>
      <c r="C428" s="28" t="s">
        <v>30</v>
      </c>
      <c r="D428" s="28" t="s">
        <v>31</v>
      </c>
      <c r="E428" s="28" t="s">
        <v>12</v>
      </c>
      <c r="F428" s="28" t="s">
        <v>60</v>
      </c>
      <c r="G428" s="6">
        <v>14</v>
      </c>
      <c r="H428" s="15">
        <v>73000</v>
      </c>
      <c r="I428" s="15">
        <v>76000</v>
      </c>
      <c r="J428" s="15">
        <f>PRODUCT('Cleaned Data'!$G428,'Cleaned Data'!$I428)</f>
        <v>1064000</v>
      </c>
      <c r="K428" s="15">
        <f>PRODUCT('Cleaned Data'!$G428,'Cleaned Data'!$H428)</f>
        <v>1022000</v>
      </c>
      <c r="L428" s="15">
        <f>('Cleaned Data'!$J428-'Cleaned Data'!$K428)</f>
        <v>42000</v>
      </c>
      <c r="M428" s="23">
        <f>('Cleaned Data'!$L428/'Cleaned Data'!$J428)</f>
        <v>3.9473684210526314E-2</v>
      </c>
      <c r="N428" s="5" t="str">
        <f>IF('Cleaned Data'!$G428&gt;10,"High-Volume","Low-Volume")</f>
        <v>High-Volume</v>
      </c>
      <c r="O428" s="5" t="str">
        <f>IF('Cleaned Data'!$I428&gt;=100000,"Premium","Standard")</f>
        <v>Standard</v>
      </c>
      <c r="P428" s="56" t="str">
        <f>IF(Zen_Elite_Shoe_Sales[[#This Row],[Revenue]]&gt;=1000000,"Top Performer","Average Performer")</f>
        <v>Top Performer</v>
      </c>
    </row>
    <row r="429" spans="1:16" x14ac:dyDescent="0.35">
      <c r="A429" s="47">
        <v>46450</v>
      </c>
      <c r="B429" s="29" t="s">
        <v>44</v>
      </c>
      <c r="C429" s="29" t="s">
        <v>41</v>
      </c>
      <c r="D429" s="29" t="s">
        <v>16</v>
      </c>
      <c r="E429" s="29" t="s">
        <v>12</v>
      </c>
      <c r="F429" s="29" t="s">
        <v>28</v>
      </c>
      <c r="G429" s="10">
        <v>14</v>
      </c>
      <c r="H429" s="16">
        <v>102000</v>
      </c>
      <c r="I429" s="16">
        <v>103800</v>
      </c>
      <c r="J429" s="16">
        <f>PRODUCT('Cleaned Data'!$G429,'Cleaned Data'!$I429)</f>
        <v>1453200</v>
      </c>
      <c r="K429" s="16">
        <f>PRODUCT('Cleaned Data'!$G429,'Cleaned Data'!$H429)</f>
        <v>1428000</v>
      </c>
      <c r="L429" s="16">
        <f>('Cleaned Data'!$J429-'Cleaned Data'!$K429)</f>
        <v>25200</v>
      </c>
      <c r="M429" s="24">
        <f>('Cleaned Data'!$L429/'Cleaned Data'!$J429)</f>
        <v>1.7341040462427744E-2</v>
      </c>
      <c r="N429" s="9" t="str">
        <f>IF('Cleaned Data'!$G429&gt;10,"High-Volume","Low-Volume")</f>
        <v>High-Volume</v>
      </c>
      <c r="O429" s="9" t="str">
        <f>IF('Cleaned Data'!$I429&gt;=100000,"Premium","Standard")</f>
        <v>Premium</v>
      </c>
      <c r="P429" s="56" t="str">
        <f>IF(Zen_Elite_Shoe_Sales[[#This Row],[Revenue]]&gt;=1000000,"Top Performer","Average Performer")</f>
        <v>Top Performer</v>
      </c>
    </row>
    <row r="430" spans="1:16" x14ac:dyDescent="0.35">
      <c r="A430" s="46">
        <v>46451</v>
      </c>
      <c r="B430" s="28" t="s">
        <v>73</v>
      </c>
      <c r="C430" s="28" t="s">
        <v>30</v>
      </c>
      <c r="D430" s="28" t="s">
        <v>26</v>
      </c>
      <c r="E430" s="28" t="s">
        <v>59</v>
      </c>
      <c r="F430" s="28" t="s">
        <v>43</v>
      </c>
      <c r="G430" s="6">
        <v>13</v>
      </c>
      <c r="H430" s="15">
        <v>62000</v>
      </c>
      <c r="I430" s="15">
        <v>68500</v>
      </c>
      <c r="J430" s="15">
        <f>PRODUCT('Cleaned Data'!$G430,'Cleaned Data'!$I430)</f>
        <v>890500</v>
      </c>
      <c r="K430" s="15">
        <f>PRODUCT('Cleaned Data'!$G430,'Cleaned Data'!$H430)</f>
        <v>806000</v>
      </c>
      <c r="L430" s="15">
        <f>('Cleaned Data'!$J430-'Cleaned Data'!$K430)</f>
        <v>84500</v>
      </c>
      <c r="M430" s="23">
        <f>('Cleaned Data'!$L430/'Cleaned Data'!$J430)</f>
        <v>9.4890510948905105E-2</v>
      </c>
      <c r="N430" s="5" t="str">
        <f>IF('Cleaned Data'!$G430&gt;10,"High-Volume","Low-Volume")</f>
        <v>High-Volume</v>
      </c>
      <c r="O430" s="5" t="str">
        <f>IF('Cleaned Data'!$I430&gt;=100000,"Premium","Standard")</f>
        <v>Standard</v>
      </c>
      <c r="P430" s="56" t="str">
        <f>IF(Zen_Elite_Shoe_Sales[[#This Row],[Revenue]]&gt;=1000000,"Top Performer","Average Performer")</f>
        <v>Average Performer</v>
      </c>
    </row>
    <row r="431" spans="1:16" x14ac:dyDescent="0.35">
      <c r="A431" s="47">
        <v>46452</v>
      </c>
      <c r="B431" s="29" t="s">
        <v>67</v>
      </c>
      <c r="C431" s="29" t="s">
        <v>15</v>
      </c>
      <c r="D431" s="29" t="s">
        <v>16</v>
      </c>
      <c r="E431" s="29" t="s">
        <v>12</v>
      </c>
      <c r="F431" s="29" t="s">
        <v>56</v>
      </c>
      <c r="G431" s="10">
        <v>9</v>
      </c>
      <c r="H431" s="16">
        <v>55000</v>
      </c>
      <c r="I431" s="16">
        <v>61000</v>
      </c>
      <c r="J431" s="16">
        <f>PRODUCT('Cleaned Data'!$G431,'Cleaned Data'!$I431)</f>
        <v>549000</v>
      </c>
      <c r="K431" s="16">
        <f>PRODUCT('Cleaned Data'!$G431,'Cleaned Data'!$H431)</f>
        <v>495000</v>
      </c>
      <c r="L431" s="16">
        <f>('Cleaned Data'!$J431-'Cleaned Data'!$K431)</f>
        <v>54000</v>
      </c>
      <c r="M431" s="24">
        <f>('Cleaned Data'!$L431/'Cleaned Data'!$J431)</f>
        <v>9.8360655737704916E-2</v>
      </c>
      <c r="N431" s="9" t="str">
        <f>IF('Cleaned Data'!$G431&gt;10,"High-Volume","Low-Volume")</f>
        <v>Low-Volume</v>
      </c>
      <c r="O431" s="9" t="str">
        <f>IF('Cleaned Data'!$I431&gt;=100000,"Premium","Standard")</f>
        <v>Standard</v>
      </c>
      <c r="P431" s="56" t="str">
        <f>IF(Zen_Elite_Shoe_Sales[[#This Row],[Revenue]]&gt;=1000000,"Top Performer","Average Performer")</f>
        <v>Average Performer</v>
      </c>
    </row>
    <row r="432" spans="1:16" x14ac:dyDescent="0.35">
      <c r="A432" s="46">
        <v>46453</v>
      </c>
      <c r="B432" s="28" t="s">
        <v>44</v>
      </c>
      <c r="C432" s="28" t="s">
        <v>41</v>
      </c>
      <c r="D432" s="28" t="s">
        <v>31</v>
      </c>
      <c r="E432" s="28" t="s">
        <v>59</v>
      </c>
      <c r="F432" s="28" t="s">
        <v>43</v>
      </c>
      <c r="G432" s="6">
        <v>11</v>
      </c>
      <c r="H432" s="15">
        <v>106000</v>
      </c>
      <c r="I432" s="15">
        <v>107800</v>
      </c>
      <c r="J432" s="15">
        <f>PRODUCT('Cleaned Data'!$G432,'Cleaned Data'!$I432)</f>
        <v>1185800</v>
      </c>
      <c r="K432" s="15">
        <f>PRODUCT('Cleaned Data'!$G432,'Cleaned Data'!$H432)</f>
        <v>1166000</v>
      </c>
      <c r="L432" s="15">
        <f>('Cleaned Data'!$J432-'Cleaned Data'!$K432)</f>
        <v>19800</v>
      </c>
      <c r="M432" s="23">
        <f>('Cleaned Data'!$L432/'Cleaned Data'!$J432)</f>
        <v>1.6697588126159554E-2</v>
      </c>
      <c r="N432" s="5" t="str">
        <f>IF('Cleaned Data'!$G432&gt;10,"High-Volume","Low-Volume")</f>
        <v>High-Volume</v>
      </c>
      <c r="O432" s="5" t="str">
        <f>IF('Cleaned Data'!$I432&gt;=100000,"Premium","Standard")</f>
        <v>Premium</v>
      </c>
      <c r="P432" s="56" t="str">
        <f>IF(Zen_Elite_Shoe_Sales[[#This Row],[Revenue]]&gt;=1000000,"Top Performer","Average Performer")</f>
        <v>Top Performer</v>
      </c>
    </row>
    <row r="433" spans="1:16" x14ac:dyDescent="0.35">
      <c r="A433" s="47">
        <v>46454</v>
      </c>
      <c r="B433" s="29" t="s">
        <v>44</v>
      </c>
      <c r="C433" s="29" t="s">
        <v>41</v>
      </c>
      <c r="D433" s="29" t="s">
        <v>31</v>
      </c>
      <c r="E433" s="29" t="s">
        <v>59</v>
      </c>
      <c r="F433" s="29" t="s">
        <v>18</v>
      </c>
      <c r="G433" s="10">
        <v>9</v>
      </c>
      <c r="H433" s="16">
        <v>139000</v>
      </c>
      <c r="I433" s="16">
        <v>140800</v>
      </c>
      <c r="J433" s="16">
        <f>PRODUCT('Cleaned Data'!$G433,'Cleaned Data'!$I433)</f>
        <v>1267200</v>
      </c>
      <c r="K433" s="16">
        <f>PRODUCT('Cleaned Data'!$G433,'Cleaned Data'!$H433)</f>
        <v>1251000</v>
      </c>
      <c r="L433" s="16">
        <f>('Cleaned Data'!$J433-'Cleaned Data'!$K433)</f>
        <v>16200</v>
      </c>
      <c r="M433" s="24">
        <f>('Cleaned Data'!$L433/'Cleaned Data'!$J433)</f>
        <v>1.278409090909091E-2</v>
      </c>
      <c r="N433" s="9" t="str">
        <f>IF('Cleaned Data'!$G433&gt;10,"High-Volume","Low-Volume")</f>
        <v>Low-Volume</v>
      </c>
      <c r="O433" s="9" t="str">
        <f>IF('Cleaned Data'!$I433&gt;=100000,"Premium","Standard")</f>
        <v>Premium</v>
      </c>
      <c r="P433" s="56" t="str">
        <f>IF(Zen_Elite_Shoe_Sales[[#This Row],[Revenue]]&gt;=1000000,"Top Performer","Average Performer")</f>
        <v>Top Performer</v>
      </c>
    </row>
    <row r="434" spans="1:16" x14ac:dyDescent="0.35">
      <c r="A434" s="46">
        <v>46455</v>
      </c>
      <c r="B434" s="28" t="s">
        <v>73</v>
      </c>
      <c r="C434" s="28" t="s">
        <v>30</v>
      </c>
      <c r="D434" s="28" t="s">
        <v>21</v>
      </c>
      <c r="E434" s="28" t="s">
        <v>59</v>
      </c>
      <c r="F434" s="28" t="s">
        <v>28</v>
      </c>
      <c r="G434" s="6">
        <v>3</v>
      </c>
      <c r="H434" s="15">
        <v>56000</v>
      </c>
      <c r="I434" s="15">
        <v>62000</v>
      </c>
      <c r="J434" s="15">
        <f>PRODUCT('Cleaned Data'!$G434,'Cleaned Data'!$I434)</f>
        <v>186000</v>
      </c>
      <c r="K434" s="15">
        <f>PRODUCT('Cleaned Data'!$G434,'Cleaned Data'!$H434)</f>
        <v>168000</v>
      </c>
      <c r="L434" s="15">
        <f>('Cleaned Data'!$J434-'Cleaned Data'!$K434)</f>
        <v>18000</v>
      </c>
      <c r="M434" s="23">
        <f>('Cleaned Data'!$L434/'Cleaned Data'!$J434)</f>
        <v>9.6774193548387094E-2</v>
      </c>
      <c r="N434" s="5" t="str">
        <f>IF('Cleaned Data'!$G434&gt;10,"High-Volume","Low-Volume")</f>
        <v>Low-Volume</v>
      </c>
      <c r="O434" s="5" t="str">
        <f>IF('Cleaned Data'!$I434&gt;=100000,"Premium","Standard")</f>
        <v>Standard</v>
      </c>
      <c r="P434" s="56" t="str">
        <f>IF(Zen_Elite_Shoe_Sales[[#This Row],[Revenue]]&gt;=1000000,"Top Performer","Average Performer")</f>
        <v>Average Performer</v>
      </c>
    </row>
    <row r="435" spans="1:16" x14ac:dyDescent="0.35">
      <c r="A435" s="46">
        <v>46456</v>
      </c>
      <c r="B435" s="28" t="s">
        <v>78</v>
      </c>
      <c r="C435" s="28" t="s">
        <v>41</v>
      </c>
      <c r="D435" s="28" t="s">
        <v>31</v>
      </c>
      <c r="E435" s="28" t="s">
        <v>12</v>
      </c>
      <c r="F435" s="28" t="s">
        <v>60</v>
      </c>
      <c r="G435" s="6">
        <v>12</v>
      </c>
      <c r="H435" s="15">
        <v>113000</v>
      </c>
      <c r="I435" s="15">
        <v>114800</v>
      </c>
      <c r="J435" s="15">
        <f>PRODUCT('Cleaned Data'!$G435,'Cleaned Data'!$I435)</f>
        <v>1377600</v>
      </c>
      <c r="K435" s="15">
        <f>PRODUCT('Cleaned Data'!$G435,'Cleaned Data'!$H435)</f>
        <v>1356000</v>
      </c>
      <c r="L435" s="15">
        <f>('Cleaned Data'!$J435-'Cleaned Data'!$K435)</f>
        <v>21600</v>
      </c>
      <c r="M435" s="23">
        <f>('Cleaned Data'!$L435/'Cleaned Data'!$J435)</f>
        <v>1.5679442508710801E-2</v>
      </c>
      <c r="N435" s="5" t="str">
        <f>IF('Cleaned Data'!$G435&gt;10,"High-Volume","Low-Volume")</f>
        <v>High-Volume</v>
      </c>
      <c r="O435" s="5" t="str">
        <f>IF('Cleaned Data'!$I435&gt;=100000,"Premium","Standard")</f>
        <v>Premium</v>
      </c>
      <c r="P435" s="56" t="str">
        <f>IF(Zen_Elite_Shoe_Sales[[#This Row],[Revenue]]&gt;=1000000,"Top Performer","Average Performer")</f>
        <v>Top Performer</v>
      </c>
    </row>
    <row r="436" spans="1:16" x14ac:dyDescent="0.35">
      <c r="A436" s="46">
        <v>46457</v>
      </c>
      <c r="B436" s="28" t="s">
        <v>67</v>
      </c>
      <c r="C436" s="28" t="s">
        <v>15</v>
      </c>
      <c r="D436" s="28" t="s">
        <v>31</v>
      </c>
      <c r="E436" s="28" t="s">
        <v>27</v>
      </c>
      <c r="F436" s="28" t="s">
        <v>39</v>
      </c>
      <c r="G436" s="6">
        <v>5</v>
      </c>
      <c r="H436" s="15">
        <v>68000</v>
      </c>
      <c r="I436" s="15">
        <v>74500</v>
      </c>
      <c r="J436" s="15">
        <f>PRODUCT('Cleaned Data'!$G436,'Cleaned Data'!$I436)</f>
        <v>372500</v>
      </c>
      <c r="K436" s="15">
        <f>PRODUCT('Cleaned Data'!$G436,'Cleaned Data'!$H436)</f>
        <v>340000</v>
      </c>
      <c r="L436" s="15">
        <f>('Cleaned Data'!$J436-'Cleaned Data'!$K436)</f>
        <v>32500</v>
      </c>
      <c r="M436" s="23">
        <f>('Cleaned Data'!$L436/'Cleaned Data'!$J436)</f>
        <v>8.7248322147651006E-2</v>
      </c>
      <c r="N436" s="5" t="str">
        <f>IF('Cleaned Data'!$G436&gt;10,"High-Volume","Low-Volume")</f>
        <v>Low-Volume</v>
      </c>
      <c r="O436" s="5" t="str">
        <f>IF('Cleaned Data'!$I436&gt;=100000,"Premium","Standard")</f>
        <v>Standard</v>
      </c>
      <c r="P436" s="56" t="str">
        <f>IF(Zen_Elite_Shoe_Sales[[#This Row],[Revenue]]&gt;=1000000,"Top Performer","Average Performer")</f>
        <v>Average Performer</v>
      </c>
    </row>
    <row r="437" spans="1:16" x14ac:dyDescent="0.35">
      <c r="A437" s="46">
        <v>46458</v>
      </c>
      <c r="B437" s="28" t="s">
        <v>67</v>
      </c>
      <c r="C437" s="28" t="s">
        <v>15</v>
      </c>
      <c r="D437" s="28" t="s">
        <v>21</v>
      </c>
      <c r="E437" s="28" t="s">
        <v>27</v>
      </c>
      <c r="F437" s="28" t="s">
        <v>23</v>
      </c>
      <c r="G437" s="6">
        <v>3</v>
      </c>
      <c r="H437" s="15">
        <v>56000</v>
      </c>
      <c r="I437" s="15">
        <v>62000</v>
      </c>
      <c r="J437" s="15">
        <f>PRODUCT('Cleaned Data'!$G437,'Cleaned Data'!$I437)</f>
        <v>186000</v>
      </c>
      <c r="K437" s="15">
        <f>PRODUCT('Cleaned Data'!$G437,'Cleaned Data'!$H437)</f>
        <v>168000</v>
      </c>
      <c r="L437" s="15">
        <f>('Cleaned Data'!$J437-'Cleaned Data'!$K437)</f>
        <v>18000</v>
      </c>
      <c r="M437" s="23">
        <f>('Cleaned Data'!$L437/'Cleaned Data'!$J437)</f>
        <v>9.6774193548387094E-2</v>
      </c>
      <c r="N437" s="5" t="str">
        <f>IF('Cleaned Data'!$G437&gt;10,"High-Volume","Low-Volume")</f>
        <v>Low-Volume</v>
      </c>
      <c r="O437" s="5" t="str">
        <f>IF('Cleaned Data'!$I437&gt;=100000,"Premium","Standard")</f>
        <v>Standard</v>
      </c>
      <c r="P437" s="56" t="str">
        <f>IF(Zen_Elite_Shoe_Sales[[#This Row],[Revenue]]&gt;=1000000,"Top Performer","Average Performer")</f>
        <v>Average Performer</v>
      </c>
    </row>
    <row r="438" spans="1:16" x14ac:dyDescent="0.35">
      <c r="A438" s="46">
        <v>46459</v>
      </c>
      <c r="B438" s="28" t="s">
        <v>67</v>
      </c>
      <c r="C438" s="28" t="s">
        <v>15</v>
      </c>
      <c r="D438" s="28" t="s">
        <v>26</v>
      </c>
      <c r="E438" s="28" t="s">
        <v>59</v>
      </c>
      <c r="F438" s="28" t="s">
        <v>37</v>
      </c>
      <c r="G438" s="6">
        <v>1</v>
      </c>
      <c r="H438" s="15">
        <v>64000</v>
      </c>
      <c r="I438" s="15">
        <v>70500</v>
      </c>
      <c r="J438" s="15">
        <f>PRODUCT('Cleaned Data'!$G438,'Cleaned Data'!$I438)</f>
        <v>70500</v>
      </c>
      <c r="K438" s="15">
        <f>PRODUCT('Cleaned Data'!$G438,'Cleaned Data'!$H438)</f>
        <v>64000</v>
      </c>
      <c r="L438" s="15">
        <f>('Cleaned Data'!$J438-'Cleaned Data'!$K438)</f>
        <v>6500</v>
      </c>
      <c r="M438" s="23">
        <f>('Cleaned Data'!$L438/'Cleaned Data'!$J438)</f>
        <v>9.2198581560283682E-2</v>
      </c>
      <c r="N438" s="5" t="str">
        <f>IF('Cleaned Data'!$G438&gt;10,"High-Volume","Low-Volume")</f>
        <v>Low-Volume</v>
      </c>
      <c r="O438" s="5" t="str">
        <f>IF('Cleaned Data'!$I438&gt;=100000,"Premium","Standard")</f>
        <v>Standard</v>
      </c>
      <c r="P438" s="56" t="str">
        <f>IF(Zen_Elite_Shoe_Sales[[#This Row],[Revenue]]&gt;=1000000,"Top Performer","Average Performer")</f>
        <v>Average Performer</v>
      </c>
    </row>
    <row r="439" spans="1:16" x14ac:dyDescent="0.35">
      <c r="A439" s="46">
        <v>46460</v>
      </c>
      <c r="B439" s="28" t="s">
        <v>34</v>
      </c>
      <c r="C439" s="28" t="s">
        <v>41</v>
      </c>
      <c r="D439" s="28" t="s">
        <v>16</v>
      </c>
      <c r="E439" s="28" t="s">
        <v>59</v>
      </c>
      <c r="F439" s="28" t="s">
        <v>28</v>
      </c>
      <c r="G439" s="6">
        <v>13</v>
      </c>
      <c r="H439" s="15">
        <v>107000</v>
      </c>
      <c r="I439" s="15">
        <v>108800</v>
      </c>
      <c r="J439" s="15">
        <f>PRODUCT('Cleaned Data'!$G439,'Cleaned Data'!$I439)</f>
        <v>1414400</v>
      </c>
      <c r="K439" s="15">
        <f>PRODUCT('Cleaned Data'!$G439,'Cleaned Data'!$H439)</f>
        <v>1391000</v>
      </c>
      <c r="L439" s="15">
        <f>('Cleaned Data'!$J439-'Cleaned Data'!$K439)</f>
        <v>23400</v>
      </c>
      <c r="M439" s="23">
        <f>('Cleaned Data'!$L439/'Cleaned Data'!$J439)</f>
        <v>1.6544117647058824E-2</v>
      </c>
      <c r="N439" s="5" t="str">
        <f>IF('Cleaned Data'!$G439&gt;10,"High-Volume","Low-Volume")</f>
        <v>High-Volume</v>
      </c>
      <c r="O439" s="5" t="str">
        <f>IF('Cleaned Data'!$I439&gt;=100000,"Premium","Standard")</f>
        <v>Premium</v>
      </c>
      <c r="P439" s="56" t="str">
        <f>IF(Zen_Elite_Shoe_Sales[[#This Row],[Revenue]]&gt;=1000000,"Top Performer","Average Performer")</f>
        <v>Top Performer</v>
      </c>
    </row>
    <row r="440" spans="1:16" x14ac:dyDescent="0.35">
      <c r="A440" s="46">
        <v>46461</v>
      </c>
      <c r="B440" s="28" t="s">
        <v>73</v>
      </c>
      <c r="C440" s="28" t="s">
        <v>30</v>
      </c>
      <c r="D440" s="28" t="s">
        <v>16</v>
      </c>
      <c r="E440" s="28" t="s">
        <v>27</v>
      </c>
      <c r="F440" s="28" t="s">
        <v>43</v>
      </c>
      <c r="G440" s="6">
        <v>1</v>
      </c>
      <c r="H440" s="15">
        <v>77000</v>
      </c>
      <c r="I440" s="15">
        <v>80000</v>
      </c>
      <c r="J440" s="15">
        <f>PRODUCT('Cleaned Data'!$G440,'Cleaned Data'!$I440)</f>
        <v>80000</v>
      </c>
      <c r="K440" s="15">
        <f>PRODUCT('Cleaned Data'!$G440,'Cleaned Data'!$H440)</f>
        <v>77000</v>
      </c>
      <c r="L440" s="15">
        <f>('Cleaned Data'!$J440-'Cleaned Data'!$K440)</f>
        <v>3000</v>
      </c>
      <c r="M440" s="23">
        <f>('Cleaned Data'!$L440/'Cleaned Data'!$J440)</f>
        <v>3.7499999999999999E-2</v>
      </c>
      <c r="N440" s="5" t="str">
        <f>IF('Cleaned Data'!$G440&gt;10,"High-Volume","Low-Volume")</f>
        <v>Low-Volume</v>
      </c>
      <c r="O440" s="5" t="str">
        <f>IF('Cleaned Data'!$I440&gt;=100000,"Premium","Standard")</f>
        <v>Standard</v>
      </c>
      <c r="P440" s="56" t="str">
        <f>IF(Zen_Elite_Shoe_Sales[[#This Row],[Revenue]]&gt;=1000000,"Top Performer","Average Performer")</f>
        <v>Average Performer</v>
      </c>
    </row>
    <row r="441" spans="1:16" x14ac:dyDescent="0.35">
      <c r="A441" s="46">
        <v>46462</v>
      </c>
      <c r="B441" s="28" t="s">
        <v>53</v>
      </c>
      <c r="C441" s="28" t="s">
        <v>15</v>
      </c>
      <c r="D441" s="28" t="s">
        <v>26</v>
      </c>
      <c r="E441" s="28" t="s">
        <v>27</v>
      </c>
      <c r="F441" s="28" t="s">
        <v>52</v>
      </c>
      <c r="G441" s="6">
        <v>7</v>
      </c>
      <c r="H441" s="15">
        <v>67000</v>
      </c>
      <c r="I441" s="15">
        <v>73500</v>
      </c>
      <c r="J441" s="15">
        <f>PRODUCT('Cleaned Data'!$G441,'Cleaned Data'!$I441)</f>
        <v>514500</v>
      </c>
      <c r="K441" s="15">
        <f>PRODUCT('Cleaned Data'!$G441,'Cleaned Data'!$H441)</f>
        <v>469000</v>
      </c>
      <c r="L441" s="15">
        <f>('Cleaned Data'!$J441-'Cleaned Data'!$K441)</f>
        <v>45500</v>
      </c>
      <c r="M441" s="23">
        <f>('Cleaned Data'!$L441/'Cleaned Data'!$J441)</f>
        <v>8.8435374149659865E-2</v>
      </c>
      <c r="N441" s="5" t="str">
        <f>IF('Cleaned Data'!$G441&gt;10,"High-Volume","Low-Volume")</f>
        <v>Low-Volume</v>
      </c>
      <c r="O441" s="5" t="str">
        <f>IF('Cleaned Data'!$I441&gt;=100000,"Premium","Standard")</f>
        <v>Standard</v>
      </c>
      <c r="P441" s="56" t="str">
        <f>IF(Zen_Elite_Shoe_Sales[[#This Row],[Revenue]]&gt;=1000000,"Top Performer","Average Performer")</f>
        <v>Average Performer</v>
      </c>
    </row>
    <row r="442" spans="1:16" x14ac:dyDescent="0.35">
      <c r="A442" s="46">
        <v>46463</v>
      </c>
      <c r="B442" s="28" t="s">
        <v>19</v>
      </c>
      <c r="C442" s="28" t="s">
        <v>50</v>
      </c>
      <c r="D442" s="28" t="s">
        <v>31</v>
      </c>
      <c r="E442" s="28" t="s">
        <v>71</v>
      </c>
      <c r="F442" s="28" t="s">
        <v>48</v>
      </c>
      <c r="G442" s="6">
        <v>8</v>
      </c>
      <c r="H442" s="15">
        <v>53000</v>
      </c>
      <c r="I442" s="15">
        <v>59000</v>
      </c>
      <c r="J442" s="15">
        <f>PRODUCT('Cleaned Data'!$G442,'Cleaned Data'!$I442)</f>
        <v>472000</v>
      </c>
      <c r="K442" s="15">
        <f>PRODUCT('Cleaned Data'!$G442,'Cleaned Data'!$H442)</f>
        <v>424000</v>
      </c>
      <c r="L442" s="15">
        <f>('Cleaned Data'!$J442-'Cleaned Data'!$K442)</f>
        <v>48000</v>
      </c>
      <c r="M442" s="23">
        <f>('Cleaned Data'!$L442/'Cleaned Data'!$J442)</f>
        <v>0.10169491525423729</v>
      </c>
      <c r="N442" s="5" t="str">
        <f>IF('Cleaned Data'!$G442&gt;10,"High-Volume","Low-Volume")</f>
        <v>Low-Volume</v>
      </c>
      <c r="O442" s="5" t="str">
        <f>IF('Cleaned Data'!$I442&gt;=100000,"Premium","Standard")</f>
        <v>Standard</v>
      </c>
      <c r="P442" s="56" t="str">
        <f>IF(Zen_Elite_Shoe_Sales[[#This Row],[Revenue]]&gt;=1000000,"Top Performer","Average Performer")</f>
        <v>Average Performer</v>
      </c>
    </row>
    <row r="443" spans="1:16" x14ac:dyDescent="0.35">
      <c r="A443" s="46">
        <v>46464</v>
      </c>
      <c r="B443" s="28" t="s">
        <v>78</v>
      </c>
      <c r="C443" s="28" t="s">
        <v>41</v>
      </c>
      <c r="D443" s="28" t="s">
        <v>16</v>
      </c>
      <c r="E443" s="28" t="s">
        <v>59</v>
      </c>
      <c r="F443" s="28" t="s">
        <v>18</v>
      </c>
      <c r="G443" s="6">
        <v>12</v>
      </c>
      <c r="H443" s="15">
        <v>114000</v>
      </c>
      <c r="I443" s="15">
        <v>115800</v>
      </c>
      <c r="J443" s="15">
        <f>PRODUCT('Cleaned Data'!$G443,'Cleaned Data'!$I443)</f>
        <v>1389600</v>
      </c>
      <c r="K443" s="15">
        <f>PRODUCT('Cleaned Data'!$G443,'Cleaned Data'!$H443)</f>
        <v>1368000</v>
      </c>
      <c r="L443" s="15">
        <f>('Cleaned Data'!$J443-'Cleaned Data'!$K443)</f>
        <v>21600</v>
      </c>
      <c r="M443" s="23">
        <f>('Cleaned Data'!$L443/'Cleaned Data'!$J443)</f>
        <v>1.5544041450777202E-2</v>
      </c>
      <c r="N443" s="5" t="str">
        <f>IF('Cleaned Data'!$G443&gt;10,"High-Volume","Low-Volume")</f>
        <v>High-Volume</v>
      </c>
      <c r="O443" s="5" t="str">
        <f>IF('Cleaned Data'!$I443&gt;=100000,"Premium","Standard")</f>
        <v>Premium</v>
      </c>
      <c r="P443" s="56" t="str">
        <f>IF(Zen_Elite_Shoe_Sales[[#This Row],[Revenue]]&gt;=1000000,"Top Performer","Average Performer")</f>
        <v>Top Performer</v>
      </c>
    </row>
    <row r="444" spans="1:16" x14ac:dyDescent="0.35">
      <c r="A444" s="46">
        <v>46465</v>
      </c>
      <c r="B444" s="28" t="s">
        <v>64</v>
      </c>
      <c r="C444" s="28" t="s">
        <v>41</v>
      </c>
      <c r="D444" s="28" t="s">
        <v>16</v>
      </c>
      <c r="E444" s="28" t="s">
        <v>47</v>
      </c>
      <c r="F444" s="28" t="s">
        <v>18</v>
      </c>
      <c r="G444" s="6">
        <v>4</v>
      </c>
      <c r="H444" s="15">
        <v>112000</v>
      </c>
      <c r="I444" s="15">
        <v>113800</v>
      </c>
      <c r="J444" s="15">
        <f>PRODUCT('Cleaned Data'!$G444,'Cleaned Data'!$I444)</f>
        <v>455200</v>
      </c>
      <c r="K444" s="15">
        <f>PRODUCT('Cleaned Data'!$G444,'Cleaned Data'!$H444)</f>
        <v>448000</v>
      </c>
      <c r="L444" s="15">
        <f>('Cleaned Data'!$J444-'Cleaned Data'!$K444)</f>
        <v>7200</v>
      </c>
      <c r="M444" s="23">
        <f>('Cleaned Data'!$L444/'Cleaned Data'!$J444)</f>
        <v>1.5817223198594025E-2</v>
      </c>
      <c r="N444" s="5" t="str">
        <f>IF('Cleaned Data'!$G444&gt;10,"High-Volume","Low-Volume")</f>
        <v>Low-Volume</v>
      </c>
      <c r="O444" s="5" t="str">
        <f>IF('Cleaned Data'!$I444&gt;=100000,"Premium","Standard")</f>
        <v>Premium</v>
      </c>
      <c r="P444" s="56" t="str">
        <f>IF(Zen_Elite_Shoe_Sales[[#This Row],[Revenue]]&gt;=1000000,"Top Performer","Average Performer")</f>
        <v>Average Performer</v>
      </c>
    </row>
    <row r="445" spans="1:16" x14ac:dyDescent="0.35">
      <c r="A445" s="46">
        <v>46466</v>
      </c>
      <c r="B445" s="28" t="s">
        <v>64</v>
      </c>
      <c r="C445" s="28" t="s">
        <v>41</v>
      </c>
      <c r="D445" s="28" t="s">
        <v>16</v>
      </c>
      <c r="E445" s="28" t="s">
        <v>71</v>
      </c>
      <c r="F445" s="28" t="s">
        <v>60</v>
      </c>
      <c r="G445" s="6">
        <v>12</v>
      </c>
      <c r="H445" s="15">
        <v>101000</v>
      </c>
      <c r="I445" s="15">
        <v>102800</v>
      </c>
      <c r="J445" s="15">
        <f>PRODUCT('Cleaned Data'!$G445,'Cleaned Data'!$I445)</f>
        <v>1233600</v>
      </c>
      <c r="K445" s="15">
        <f>PRODUCT('Cleaned Data'!$G445,'Cleaned Data'!$H445)</f>
        <v>1212000</v>
      </c>
      <c r="L445" s="15">
        <f>('Cleaned Data'!$J445-'Cleaned Data'!$K445)</f>
        <v>21600</v>
      </c>
      <c r="M445" s="23">
        <f>('Cleaned Data'!$L445/'Cleaned Data'!$J445)</f>
        <v>1.7509727626459144E-2</v>
      </c>
      <c r="N445" s="5" t="str">
        <f>IF('Cleaned Data'!$G445&gt;10,"High-Volume","Low-Volume")</f>
        <v>High-Volume</v>
      </c>
      <c r="O445" s="5" t="str">
        <f>IF('Cleaned Data'!$I445&gt;=100000,"Premium","Standard")</f>
        <v>Premium</v>
      </c>
      <c r="P445" s="56" t="str">
        <f>IF(Zen_Elite_Shoe_Sales[[#This Row],[Revenue]]&gt;=1000000,"Top Performer","Average Performer")</f>
        <v>Top Performer</v>
      </c>
    </row>
    <row r="446" spans="1:16" x14ac:dyDescent="0.35">
      <c r="A446" s="46">
        <v>46467</v>
      </c>
      <c r="B446" s="28" t="s">
        <v>19</v>
      </c>
      <c r="C446" s="28" t="s">
        <v>50</v>
      </c>
      <c r="D446" s="28" t="s">
        <v>16</v>
      </c>
      <c r="E446" s="28" t="s">
        <v>27</v>
      </c>
      <c r="F446" s="28" t="s">
        <v>28</v>
      </c>
      <c r="G446" s="6">
        <v>15</v>
      </c>
      <c r="H446" s="15">
        <v>46000</v>
      </c>
      <c r="I446" s="15">
        <v>51000</v>
      </c>
      <c r="J446" s="15">
        <f>PRODUCT('Cleaned Data'!$G446,'Cleaned Data'!$I446)</f>
        <v>765000</v>
      </c>
      <c r="K446" s="15">
        <f>PRODUCT('Cleaned Data'!$G446,'Cleaned Data'!$H446)</f>
        <v>690000</v>
      </c>
      <c r="L446" s="15">
        <f>('Cleaned Data'!$J446-'Cleaned Data'!$K446)</f>
        <v>75000</v>
      </c>
      <c r="M446" s="23">
        <f>('Cleaned Data'!$L446/'Cleaned Data'!$J446)</f>
        <v>9.8039215686274508E-2</v>
      </c>
      <c r="N446" s="5" t="str">
        <f>IF('Cleaned Data'!$G446&gt;10,"High-Volume","Low-Volume")</f>
        <v>High-Volume</v>
      </c>
      <c r="O446" s="5" t="str">
        <f>IF('Cleaned Data'!$I446&gt;=100000,"Premium","Standard")</f>
        <v>Standard</v>
      </c>
      <c r="P446" s="56" t="str">
        <f>IF(Zen_Elite_Shoe_Sales[[#This Row],[Revenue]]&gt;=1000000,"Top Performer","Average Performer")</f>
        <v>Average Performer</v>
      </c>
    </row>
    <row r="447" spans="1:16" x14ac:dyDescent="0.35">
      <c r="A447" s="46">
        <v>46468</v>
      </c>
      <c r="B447" s="28" t="s">
        <v>73</v>
      </c>
      <c r="C447" s="28" t="s">
        <v>30</v>
      </c>
      <c r="D447" s="28" t="s">
        <v>31</v>
      </c>
      <c r="E447" s="28" t="s">
        <v>71</v>
      </c>
      <c r="F447" s="28" t="s">
        <v>63</v>
      </c>
      <c r="G447" s="6">
        <v>7</v>
      </c>
      <c r="H447" s="15">
        <v>70000</v>
      </c>
      <c r="I447" s="15">
        <v>76500</v>
      </c>
      <c r="J447" s="15">
        <f>PRODUCT('Cleaned Data'!$G447,'Cleaned Data'!$I447)</f>
        <v>535500</v>
      </c>
      <c r="K447" s="15">
        <f>PRODUCT('Cleaned Data'!$G447,'Cleaned Data'!$H447)</f>
        <v>490000</v>
      </c>
      <c r="L447" s="15">
        <f>('Cleaned Data'!$J447-'Cleaned Data'!$K447)</f>
        <v>45500</v>
      </c>
      <c r="M447" s="23">
        <f>('Cleaned Data'!$L447/'Cleaned Data'!$J447)</f>
        <v>8.4967320261437912E-2</v>
      </c>
      <c r="N447" s="5" t="str">
        <f>IF('Cleaned Data'!$G447&gt;10,"High-Volume","Low-Volume")</f>
        <v>Low-Volume</v>
      </c>
      <c r="O447" s="5" t="str">
        <f>IF('Cleaned Data'!$I447&gt;=100000,"Premium","Standard")</f>
        <v>Standard</v>
      </c>
      <c r="P447" s="56" t="str">
        <f>IF(Zen_Elite_Shoe_Sales[[#This Row],[Revenue]]&gt;=1000000,"Top Performer","Average Performer")</f>
        <v>Average Performer</v>
      </c>
    </row>
    <row r="448" spans="1:16" x14ac:dyDescent="0.35">
      <c r="A448" s="46">
        <v>46469</v>
      </c>
      <c r="B448" s="28" t="s">
        <v>19</v>
      </c>
      <c r="C448" s="28" t="s">
        <v>50</v>
      </c>
      <c r="D448" s="28" t="s">
        <v>11</v>
      </c>
      <c r="E448" s="28" t="s">
        <v>71</v>
      </c>
      <c r="F448" s="28" t="s">
        <v>37</v>
      </c>
      <c r="G448" s="6">
        <v>10</v>
      </c>
      <c r="H448" s="15">
        <v>49000</v>
      </c>
      <c r="I448" s="15">
        <v>54000</v>
      </c>
      <c r="J448" s="15">
        <f>PRODUCT('Cleaned Data'!$G448,'Cleaned Data'!$I448)</f>
        <v>540000</v>
      </c>
      <c r="K448" s="15">
        <f>PRODUCT('Cleaned Data'!$G448,'Cleaned Data'!$H448)</f>
        <v>490000</v>
      </c>
      <c r="L448" s="15">
        <f>('Cleaned Data'!$J448-'Cleaned Data'!$K448)</f>
        <v>50000</v>
      </c>
      <c r="M448" s="23">
        <f>('Cleaned Data'!$L448/'Cleaned Data'!$J448)</f>
        <v>9.2592592592592587E-2</v>
      </c>
      <c r="N448" s="5" t="str">
        <f>IF('Cleaned Data'!$G448&gt;10,"High-Volume","Low-Volume")</f>
        <v>Low-Volume</v>
      </c>
      <c r="O448" s="5" t="str">
        <f>IF('Cleaned Data'!$I448&gt;=100000,"Premium","Standard")</f>
        <v>Standard</v>
      </c>
      <c r="P448" s="56" t="str">
        <f>IF(Zen_Elite_Shoe_Sales[[#This Row],[Revenue]]&gt;=1000000,"Top Performer","Average Performer")</f>
        <v>Average Performer</v>
      </c>
    </row>
    <row r="449" spans="1:16" x14ac:dyDescent="0.35">
      <c r="A449" s="46">
        <v>46470</v>
      </c>
      <c r="B449" s="28" t="s">
        <v>67</v>
      </c>
      <c r="C449" s="28" t="s">
        <v>15</v>
      </c>
      <c r="D449" s="28" t="s">
        <v>26</v>
      </c>
      <c r="E449" s="28" t="s">
        <v>12</v>
      </c>
      <c r="F449" s="28" t="s">
        <v>37</v>
      </c>
      <c r="G449" s="6">
        <v>14</v>
      </c>
      <c r="H449" s="15">
        <v>52000</v>
      </c>
      <c r="I449" s="15">
        <v>58000</v>
      </c>
      <c r="J449" s="15">
        <f>PRODUCT('Cleaned Data'!$G449,'Cleaned Data'!$I449)</f>
        <v>812000</v>
      </c>
      <c r="K449" s="15">
        <f>PRODUCT('Cleaned Data'!$G449,'Cleaned Data'!$H449)</f>
        <v>728000</v>
      </c>
      <c r="L449" s="15">
        <f>('Cleaned Data'!$J449-'Cleaned Data'!$K449)</f>
        <v>84000</v>
      </c>
      <c r="M449" s="23">
        <f>('Cleaned Data'!$L449/'Cleaned Data'!$J449)</f>
        <v>0.10344827586206896</v>
      </c>
      <c r="N449" s="5" t="str">
        <f>IF('Cleaned Data'!$G449&gt;10,"High-Volume","Low-Volume")</f>
        <v>High-Volume</v>
      </c>
      <c r="O449" s="5" t="str">
        <f>IF('Cleaned Data'!$I449&gt;=100000,"Premium","Standard")</f>
        <v>Standard</v>
      </c>
      <c r="P449" s="56" t="str">
        <f>IF(Zen_Elite_Shoe_Sales[[#This Row],[Revenue]]&gt;=1000000,"Top Performer","Average Performer")</f>
        <v>Average Performer</v>
      </c>
    </row>
    <row r="450" spans="1:16" x14ac:dyDescent="0.35">
      <c r="A450" s="46">
        <v>46471</v>
      </c>
      <c r="B450" s="28" t="s">
        <v>78</v>
      </c>
      <c r="C450" s="28" t="s">
        <v>41</v>
      </c>
      <c r="D450" s="28" t="s">
        <v>26</v>
      </c>
      <c r="E450" s="28" t="s">
        <v>47</v>
      </c>
      <c r="F450" s="28" t="s">
        <v>23</v>
      </c>
      <c r="G450" s="6">
        <v>11</v>
      </c>
      <c r="H450" s="15">
        <v>115000</v>
      </c>
      <c r="I450" s="15">
        <v>116800</v>
      </c>
      <c r="J450" s="15">
        <f>PRODUCT('Cleaned Data'!$G450,'Cleaned Data'!$I450)</f>
        <v>1284800</v>
      </c>
      <c r="K450" s="15">
        <f>PRODUCT('Cleaned Data'!$G450,'Cleaned Data'!$H450)</f>
        <v>1265000</v>
      </c>
      <c r="L450" s="15">
        <f>('Cleaned Data'!$J450-'Cleaned Data'!$K450)</f>
        <v>19800</v>
      </c>
      <c r="M450" s="23">
        <f>('Cleaned Data'!$L450/'Cleaned Data'!$J450)</f>
        <v>1.5410958904109588E-2</v>
      </c>
      <c r="N450" s="5" t="str">
        <f>IF('Cleaned Data'!$G450&gt;10,"High-Volume","Low-Volume")</f>
        <v>High-Volume</v>
      </c>
      <c r="O450" s="5" t="str">
        <f>IF('Cleaned Data'!$I450&gt;=100000,"Premium","Standard")</f>
        <v>Premium</v>
      </c>
      <c r="P450" s="56" t="str">
        <f>IF(Zen_Elite_Shoe_Sales[[#This Row],[Revenue]]&gt;=1000000,"Top Performer","Average Performer")</f>
        <v>Top Performer</v>
      </c>
    </row>
    <row r="451" spans="1:16" x14ac:dyDescent="0.35">
      <c r="A451" s="46">
        <v>46472</v>
      </c>
      <c r="B451" s="28" t="s">
        <v>34</v>
      </c>
      <c r="C451" s="28" t="s">
        <v>41</v>
      </c>
      <c r="D451" s="28" t="s">
        <v>31</v>
      </c>
      <c r="E451" s="28" t="s">
        <v>47</v>
      </c>
      <c r="F451" s="28" t="s">
        <v>45</v>
      </c>
      <c r="G451" s="6">
        <v>15</v>
      </c>
      <c r="H451" s="15">
        <v>112000</v>
      </c>
      <c r="I451" s="15">
        <v>113800</v>
      </c>
      <c r="J451" s="15">
        <f>PRODUCT('Cleaned Data'!$G451,'Cleaned Data'!$I451)</f>
        <v>1707000</v>
      </c>
      <c r="K451" s="15">
        <f>PRODUCT('Cleaned Data'!$G451,'Cleaned Data'!$H451)</f>
        <v>1680000</v>
      </c>
      <c r="L451" s="15">
        <f>('Cleaned Data'!$J451-'Cleaned Data'!$K451)</f>
        <v>27000</v>
      </c>
      <c r="M451" s="23">
        <f>('Cleaned Data'!$L451/'Cleaned Data'!$J451)</f>
        <v>1.5817223198594025E-2</v>
      </c>
      <c r="N451" s="5" t="str">
        <f>IF('Cleaned Data'!$G451&gt;10,"High-Volume","Low-Volume")</f>
        <v>High-Volume</v>
      </c>
      <c r="O451" s="5" t="str">
        <f>IF('Cleaned Data'!$I451&gt;=100000,"Premium","Standard")</f>
        <v>Premium</v>
      </c>
      <c r="P451" s="56" t="str">
        <f>IF(Zen_Elite_Shoe_Sales[[#This Row],[Revenue]]&gt;=1000000,"Top Performer","Average Performer")</f>
        <v>Top Performer</v>
      </c>
    </row>
    <row r="452" spans="1:16" x14ac:dyDescent="0.35">
      <c r="A452" s="46">
        <v>46473</v>
      </c>
      <c r="B452" s="28" t="s">
        <v>44</v>
      </c>
      <c r="C452" s="28" t="s">
        <v>41</v>
      </c>
      <c r="D452" s="28" t="s">
        <v>21</v>
      </c>
      <c r="E452" s="28" t="s">
        <v>71</v>
      </c>
      <c r="F452" s="28" t="s">
        <v>28</v>
      </c>
      <c r="G452" s="6">
        <v>9</v>
      </c>
      <c r="H452" s="15">
        <v>135000</v>
      </c>
      <c r="I452" s="15">
        <v>136800</v>
      </c>
      <c r="J452" s="15">
        <f>PRODUCT('Cleaned Data'!$G452,'Cleaned Data'!$I452)</f>
        <v>1231200</v>
      </c>
      <c r="K452" s="15">
        <f>PRODUCT('Cleaned Data'!$G452,'Cleaned Data'!$H452)</f>
        <v>1215000</v>
      </c>
      <c r="L452" s="15">
        <f>('Cleaned Data'!$J452-'Cleaned Data'!$K452)</f>
        <v>16200</v>
      </c>
      <c r="M452" s="23">
        <f>('Cleaned Data'!$L452/'Cleaned Data'!$J452)</f>
        <v>1.3157894736842105E-2</v>
      </c>
      <c r="N452" s="5" t="str">
        <f>IF('Cleaned Data'!$G452&gt;10,"High-Volume","Low-Volume")</f>
        <v>Low-Volume</v>
      </c>
      <c r="O452" s="5" t="str">
        <f>IF('Cleaned Data'!$I452&gt;=100000,"Premium","Standard")</f>
        <v>Premium</v>
      </c>
      <c r="P452" s="56" t="str">
        <f>IF(Zen_Elite_Shoe_Sales[[#This Row],[Revenue]]&gt;=1000000,"Top Performer","Average Performer")</f>
        <v>Top Performer</v>
      </c>
    </row>
    <row r="453" spans="1:16" x14ac:dyDescent="0.35">
      <c r="A453" s="46">
        <v>46474</v>
      </c>
      <c r="B453" s="28" t="s">
        <v>67</v>
      </c>
      <c r="C453" s="28" t="s">
        <v>15</v>
      </c>
      <c r="D453" s="28" t="s">
        <v>26</v>
      </c>
      <c r="E453" s="28" t="s">
        <v>27</v>
      </c>
      <c r="F453" s="28" t="s">
        <v>28</v>
      </c>
      <c r="G453" s="6">
        <v>3</v>
      </c>
      <c r="H453" s="15">
        <v>67000</v>
      </c>
      <c r="I453" s="15">
        <v>73500</v>
      </c>
      <c r="J453" s="15">
        <f>PRODUCT('Cleaned Data'!$G453,'Cleaned Data'!$I453)</f>
        <v>220500</v>
      </c>
      <c r="K453" s="15">
        <f>PRODUCT('Cleaned Data'!$G453,'Cleaned Data'!$H453)</f>
        <v>201000</v>
      </c>
      <c r="L453" s="15">
        <f>('Cleaned Data'!$J453-'Cleaned Data'!$K453)</f>
        <v>19500</v>
      </c>
      <c r="M453" s="23">
        <f>('Cleaned Data'!$L453/'Cleaned Data'!$J453)</f>
        <v>8.8435374149659865E-2</v>
      </c>
      <c r="N453" s="5" t="str">
        <f>IF('Cleaned Data'!$G453&gt;10,"High-Volume","Low-Volume")</f>
        <v>Low-Volume</v>
      </c>
      <c r="O453" s="5" t="str">
        <f>IF('Cleaned Data'!$I453&gt;=100000,"Premium","Standard")</f>
        <v>Standard</v>
      </c>
      <c r="P453" s="56" t="str">
        <f>IF(Zen_Elite_Shoe_Sales[[#This Row],[Revenue]]&gt;=1000000,"Top Performer","Average Performer")</f>
        <v>Average Performer</v>
      </c>
    </row>
    <row r="454" spans="1:16" x14ac:dyDescent="0.35">
      <c r="A454" s="46">
        <v>46475</v>
      </c>
      <c r="B454" s="28" t="s">
        <v>67</v>
      </c>
      <c r="C454" s="28" t="s">
        <v>15</v>
      </c>
      <c r="D454" s="28" t="s">
        <v>16</v>
      </c>
      <c r="E454" s="28" t="s">
        <v>27</v>
      </c>
      <c r="F454" s="28" t="s">
        <v>23</v>
      </c>
      <c r="G454" s="6">
        <v>3</v>
      </c>
      <c r="H454" s="15">
        <v>64000</v>
      </c>
      <c r="I454" s="15">
        <v>70500</v>
      </c>
      <c r="J454" s="15">
        <f>PRODUCT('Cleaned Data'!$G454,'Cleaned Data'!$I454)</f>
        <v>211500</v>
      </c>
      <c r="K454" s="15">
        <f>PRODUCT('Cleaned Data'!$G454,'Cleaned Data'!$H454)</f>
        <v>192000</v>
      </c>
      <c r="L454" s="15">
        <f>('Cleaned Data'!$J454-'Cleaned Data'!$K454)</f>
        <v>19500</v>
      </c>
      <c r="M454" s="23">
        <f>('Cleaned Data'!$L454/'Cleaned Data'!$J454)</f>
        <v>9.2198581560283682E-2</v>
      </c>
      <c r="N454" s="5" t="str">
        <f>IF('Cleaned Data'!$G454&gt;10,"High-Volume","Low-Volume")</f>
        <v>Low-Volume</v>
      </c>
      <c r="O454" s="5" t="str">
        <f>IF('Cleaned Data'!$I454&gt;=100000,"Premium","Standard")</f>
        <v>Standard</v>
      </c>
      <c r="P454" s="56" t="str">
        <f>IF(Zen_Elite_Shoe_Sales[[#This Row],[Revenue]]&gt;=1000000,"Top Performer","Average Performer")</f>
        <v>Average Performer</v>
      </c>
    </row>
    <row r="455" spans="1:16" x14ac:dyDescent="0.35">
      <c r="A455" s="47">
        <v>46476</v>
      </c>
      <c r="B455" s="29" t="s">
        <v>78</v>
      </c>
      <c r="C455" s="29" t="s">
        <v>41</v>
      </c>
      <c r="D455" s="29" t="s">
        <v>16</v>
      </c>
      <c r="E455" s="29" t="s">
        <v>12</v>
      </c>
      <c r="F455" s="29" t="s">
        <v>33</v>
      </c>
      <c r="G455" s="10">
        <v>9</v>
      </c>
      <c r="H455" s="16">
        <v>139000</v>
      </c>
      <c r="I455" s="16">
        <v>140800</v>
      </c>
      <c r="J455" s="16">
        <f>PRODUCT('Cleaned Data'!$G455,'Cleaned Data'!$I455)</f>
        <v>1267200</v>
      </c>
      <c r="K455" s="16">
        <f>PRODUCT('Cleaned Data'!$G455,'Cleaned Data'!$H455)</f>
        <v>1251000</v>
      </c>
      <c r="L455" s="16">
        <f>('Cleaned Data'!$J455-'Cleaned Data'!$K455)</f>
        <v>16200</v>
      </c>
      <c r="M455" s="24">
        <f>('Cleaned Data'!$L455/'Cleaned Data'!$J455)</f>
        <v>1.278409090909091E-2</v>
      </c>
      <c r="N455" s="9" t="str">
        <f>IF('Cleaned Data'!$G455&gt;10,"High-Volume","Low-Volume")</f>
        <v>Low-Volume</v>
      </c>
      <c r="O455" s="9" t="str">
        <f>IF('Cleaned Data'!$I455&gt;=100000,"Premium","Standard")</f>
        <v>Premium</v>
      </c>
      <c r="P455" s="56" t="str">
        <f>IF(Zen_Elite_Shoe_Sales[[#This Row],[Revenue]]&gt;=1000000,"Top Performer","Average Performer")</f>
        <v>Top Performer</v>
      </c>
    </row>
    <row r="456" spans="1:16" x14ac:dyDescent="0.35">
      <c r="A456" s="46">
        <v>46477</v>
      </c>
      <c r="B456" s="28" t="s">
        <v>73</v>
      </c>
      <c r="C456" s="28" t="s">
        <v>30</v>
      </c>
      <c r="D456" s="28" t="s">
        <v>11</v>
      </c>
      <c r="E456" s="28" t="s">
        <v>71</v>
      </c>
      <c r="F456" s="28" t="s">
        <v>56</v>
      </c>
      <c r="G456" s="6">
        <v>9</v>
      </c>
      <c r="H456" s="15">
        <v>58000</v>
      </c>
      <c r="I456" s="15">
        <v>64000</v>
      </c>
      <c r="J456" s="15">
        <f>PRODUCT('Cleaned Data'!$G456,'Cleaned Data'!$I456)</f>
        <v>576000</v>
      </c>
      <c r="K456" s="15">
        <f>PRODUCT('Cleaned Data'!$G456,'Cleaned Data'!$H456)</f>
        <v>522000</v>
      </c>
      <c r="L456" s="15">
        <f>('Cleaned Data'!$J456-'Cleaned Data'!$K456)</f>
        <v>54000</v>
      </c>
      <c r="M456" s="23">
        <f>('Cleaned Data'!$L456/'Cleaned Data'!$J456)</f>
        <v>9.375E-2</v>
      </c>
      <c r="N456" s="5" t="str">
        <f>IF('Cleaned Data'!$G456&gt;10,"High-Volume","Low-Volume")</f>
        <v>Low-Volume</v>
      </c>
      <c r="O456" s="5" t="str">
        <f>IF('Cleaned Data'!$I456&gt;=100000,"Premium","Standard")</f>
        <v>Standard</v>
      </c>
      <c r="P456" s="56" t="str">
        <f>IF(Zen_Elite_Shoe_Sales[[#This Row],[Revenue]]&gt;=1000000,"Top Performer","Average Performer")</f>
        <v>Average Performer</v>
      </c>
    </row>
    <row r="457" spans="1:16" x14ac:dyDescent="0.35">
      <c r="A457" s="47">
        <v>46478</v>
      </c>
      <c r="B457" s="29" t="s">
        <v>34</v>
      </c>
      <c r="C457" s="29" t="s">
        <v>41</v>
      </c>
      <c r="D457" s="29" t="s">
        <v>21</v>
      </c>
      <c r="E457" s="29" t="s">
        <v>12</v>
      </c>
      <c r="F457" s="29" t="s">
        <v>28</v>
      </c>
      <c r="G457" s="10">
        <v>13</v>
      </c>
      <c r="H457" s="16">
        <v>123000</v>
      </c>
      <c r="I457" s="16">
        <v>124800</v>
      </c>
      <c r="J457" s="16">
        <f>PRODUCT('Cleaned Data'!$G457,'Cleaned Data'!$I457)</f>
        <v>1622400</v>
      </c>
      <c r="K457" s="16">
        <f>PRODUCT('Cleaned Data'!$G457,'Cleaned Data'!$H457)</f>
        <v>1599000</v>
      </c>
      <c r="L457" s="16">
        <f>('Cleaned Data'!$J457-'Cleaned Data'!$K457)</f>
        <v>23400</v>
      </c>
      <c r="M457" s="24">
        <f>('Cleaned Data'!$L457/'Cleaned Data'!$J457)</f>
        <v>1.4423076923076924E-2</v>
      </c>
      <c r="N457" s="9" t="str">
        <f>IF('Cleaned Data'!$G457&gt;10,"High-Volume","Low-Volume")</f>
        <v>High-Volume</v>
      </c>
      <c r="O457" s="9" t="str">
        <f>IF('Cleaned Data'!$I457&gt;=100000,"Premium","Standard")</f>
        <v>Premium</v>
      </c>
      <c r="P457" s="56" t="str">
        <f>IF(Zen_Elite_Shoe_Sales[[#This Row],[Revenue]]&gt;=1000000,"Top Performer","Average Performer")</f>
        <v>Top Performer</v>
      </c>
    </row>
    <row r="458" spans="1:16" x14ac:dyDescent="0.35">
      <c r="A458" s="46">
        <v>46479</v>
      </c>
      <c r="B458" s="28" t="s">
        <v>19</v>
      </c>
      <c r="C458" s="28" t="s">
        <v>50</v>
      </c>
      <c r="D458" s="28" t="s">
        <v>11</v>
      </c>
      <c r="E458" s="28" t="s">
        <v>27</v>
      </c>
      <c r="F458" s="28" t="s">
        <v>63</v>
      </c>
      <c r="G458" s="6">
        <v>8</v>
      </c>
      <c r="H458" s="15">
        <v>50000</v>
      </c>
      <c r="I458" s="15">
        <v>55000</v>
      </c>
      <c r="J458" s="15">
        <f>PRODUCT('Cleaned Data'!$G458,'Cleaned Data'!$I458)</f>
        <v>440000</v>
      </c>
      <c r="K458" s="15">
        <f>PRODUCT('Cleaned Data'!$G458,'Cleaned Data'!$H458)</f>
        <v>400000</v>
      </c>
      <c r="L458" s="15">
        <f>('Cleaned Data'!$J458-'Cleaned Data'!$K458)</f>
        <v>40000</v>
      </c>
      <c r="M458" s="23">
        <f>('Cleaned Data'!$L458/'Cleaned Data'!$J458)</f>
        <v>9.0909090909090912E-2</v>
      </c>
      <c r="N458" s="5" t="str">
        <f>IF('Cleaned Data'!$G458&gt;10,"High-Volume","Low-Volume")</f>
        <v>Low-Volume</v>
      </c>
      <c r="O458" s="5" t="str">
        <f>IF('Cleaned Data'!$I458&gt;=100000,"Premium","Standard")</f>
        <v>Standard</v>
      </c>
      <c r="P458" s="56" t="str">
        <f>IF(Zen_Elite_Shoe_Sales[[#This Row],[Revenue]]&gt;=1000000,"Top Performer","Average Performer")</f>
        <v>Average Performer</v>
      </c>
    </row>
    <row r="459" spans="1:16" x14ac:dyDescent="0.35">
      <c r="A459" s="46">
        <v>46480</v>
      </c>
      <c r="B459" s="28" t="s">
        <v>34</v>
      </c>
      <c r="C459" s="28" t="s">
        <v>41</v>
      </c>
      <c r="D459" s="28" t="s">
        <v>31</v>
      </c>
      <c r="E459" s="28" t="s">
        <v>27</v>
      </c>
      <c r="F459" s="28" t="s">
        <v>13</v>
      </c>
      <c r="G459" s="6">
        <v>4</v>
      </c>
      <c r="H459" s="15">
        <v>90000</v>
      </c>
      <c r="I459" s="15">
        <v>91800</v>
      </c>
      <c r="J459" s="15">
        <f>PRODUCT('Cleaned Data'!$G459,'Cleaned Data'!$I459)</f>
        <v>367200</v>
      </c>
      <c r="K459" s="15">
        <f>PRODUCT('Cleaned Data'!$G459,'Cleaned Data'!$H459)</f>
        <v>360000</v>
      </c>
      <c r="L459" s="15">
        <f>('Cleaned Data'!$J459-'Cleaned Data'!$K459)</f>
        <v>7200</v>
      </c>
      <c r="M459" s="23">
        <f>('Cleaned Data'!$L459/'Cleaned Data'!$J459)</f>
        <v>1.9607843137254902E-2</v>
      </c>
      <c r="N459" s="5" t="str">
        <f>IF('Cleaned Data'!$G459&gt;10,"High-Volume","Low-Volume")</f>
        <v>Low-Volume</v>
      </c>
      <c r="O459" s="5" t="str">
        <f>IF('Cleaned Data'!$I459&gt;=100000,"Premium","Standard")</f>
        <v>Standard</v>
      </c>
      <c r="P459" s="56" t="str">
        <f>IF(Zen_Elite_Shoe_Sales[[#This Row],[Revenue]]&gt;=1000000,"Top Performer","Average Performer")</f>
        <v>Average Performer</v>
      </c>
    </row>
    <row r="460" spans="1:16" x14ac:dyDescent="0.35">
      <c r="A460" s="46">
        <v>46481</v>
      </c>
      <c r="B460" s="28" t="s">
        <v>78</v>
      </c>
      <c r="C460" s="28" t="s">
        <v>41</v>
      </c>
      <c r="D460" s="28" t="s">
        <v>21</v>
      </c>
      <c r="E460" s="28" t="s">
        <v>47</v>
      </c>
      <c r="F460" s="28" t="s">
        <v>60</v>
      </c>
      <c r="G460" s="6">
        <v>6</v>
      </c>
      <c r="H460" s="15">
        <v>100000</v>
      </c>
      <c r="I460" s="15">
        <v>101800</v>
      </c>
      <c r="J460" s="15">
        <f>PRODUCT('Cleaned Data'!$G460,'Cleaned Data'!$I460)</f>
        <v>610800</v>
      </c>
      <c r="K460" s="15">
        <f>PRODUCT('Cleaned Data'!$G460,'Cleaned Data'!$H460)</f>
        <v>600000</v>
      </c>
      <c r="L460" s="15">
        <f>('Cleaned Data'!$J460-'Cleaned Data'!$K460)</f>
        <v>10800</v>
      </c>
      <c r="M460" s="23">
        <f>('Cleaned Data'!$L460/'Cleaned Data'!$J460)</f>
        <v>1.768172888015717E-2</v>
      </c>
      <c r="N460" s="5" t="str">
        <f>IF('Cleaned Data'!$G460&gt;10,"High-Volume","Low-Volume")</f>
        <v>Low-Volume</v>
      </c>
      <c r="O460" s="5" t="str">
        <f>IF('Cleaned Data'!$I460&gt;=100000,"Premium","Standard")</f>
        <v>Premium</v>
      </c>
      <c r="P460" s="56" t="str">
        <f>IF(Zen_Elite_Shoe_Sales[[#This Row],[Revenue]]&gt;=1000000,"Top Performer","Average Performer")</f>
        <v>Average Performer</v>
      </c>
    </row>
    <row r="461" spans="1:16" x14ac:dyDescent="0.35">
      <c r="A461" s="46">
        <v>46482</v>
      </c>
      <c r="B461" s="28" t="s">
        <v>67</v>
      </c>
      <c r="C461" s="28" t="s">
        <v>15</v>
      </c>
      <c r="D461" s="28" t="s">
        <v>16</v>
      </c>
      <c r="E461" s="28" t="s">
        <v>71</v>
      </c>
      <c r="F461" s="28" t="s">
        <v>37</v>
      </c>
      <c r="G461" s="6">
        <v>3</v>
      </c>
      <c r="H461" s="15">
        <v>50000</v>
      </c>
      <c r="I461" s="15">
        <v>55000</v>
      </c>
      <c r="J461" s="15">
        <f>PRODUCT('Cleaned Data'!$G461,'Cleaned Data'!$I461)</f>
        <v>165000</v>
      </c>
      <c r="K461" s="15">
        <f>PRODUCT('Cleaned Data'!$G461,'Cleaned Data'!$H461)</f>
        <v>150000</v>
      </c>
      <c r="L461" s="15">
        <f>('Cleaned Data'!$J461-'Cleaned Data'!$K461)</f>
        <v>15000</v>
      </c>
      <c r="M461" s="23">
        <f>('Cleaned Data'!$L461/'Cleaned Data'!$J461)</f>
        <v>9.0909090909090912E-2</v>
      </c>
      <c r="N461" s="5" t="str">
        <f>IF('Cleaned Data'!$G461&gt;10,"High-Volume","Low-Volume")</f>
        <v>Low-Volume</v>
      </c>
      <c r="O461" s="5" t="str">
        <f>IF('Cleaned Data'!$I461&gt;=100000,"Premium","Standard")</f>
        <v>Standard</v>
      </c>
      <c r="P461" s="56" t="str">
        <f>IF(Zen_Elite_Shoe_Sales[[#This Row],[Revenue]]&gt;=1000000,"Top Performer","Average Performer")</f>
        <v>Average Performer</v>
      </c>
    </row>
    <row r="462" spans="1:16" x14ac:dyDescent="0.35">
      <c r="A462" s="46">
        <v>46483</v>
      </c>
      <c r="B462" s="28" t="s">
        <v>64</v>
      </c>
      <c r="C462" s="28" t="s">
        <v>41</v>
      </c>
      <c r="D462" s="28" t="s">
        <v>11</v>
      </c>
      <c r="E462" s="28" t="s">
        <v>71</v>
      </c>
      <c r="F462" s="28" t="s">
        <v>37</v>
      </c>
      <c r="G462" s="6">
        <v>7</v>
      </c>
      <c r="H462" s="15">
        <v>83000</v>
      </c>
      <c r="I462" s="15">
        <v>84800</v>
      </c>
      <c r="J462" s="15">
        <f>PRODUCT('Cleaned Data'!$G462,'Cleaned Data'!$I462)</f>
        <v>593600</v>
      </c>
      <c r="K462" s="15">
        <f>PRODUCT('Cleaned Data'!$G462,'Cleaned Data'!$H462)</f>
        <v>581000</v>
      </c>
      <c r="L462" s="15">
        <f>('Cleaned Data'!$J462-'Cleaned Data'!$K462)</f>
        <v>12600</v>
      </c>
      <c r="M462" s="23">
        <f>('Cleaned Data'!$L462/'Cleaned Data'!$J462)</f>
        <v>2.1226415094339621E-2</v>
      </c>
      <c r="N462" s="5" t="str">
        <f>IF('Cleaned Data'!$G462&gt;10,"High-Volume","Low-Volume")</f>
        <v>Low-Volume</v>
      </c>
      <c r="O462" s="5" t="str">
        <f>IF('Cleaned Data'!$I462&gt;=100000,"Premium","Standard")</f>
        <v>Standard</v>
      </c>
      <c r="P462" s="56" t="str">
        <f>IF(Zen_Elite_Shoe_Sales[[#This Row],[Revenue]]&gt;=1000000,"Top Performer","Average Performer")</f>
        <v>Average Performer</v>
      </c>
    </row>
    <row r="463" spans="1:16" x14ac:dyDescent="0.35">
      <c r="A463" s="46">
        <v>46484</v>
      </c>
      <c r="B463" s="28" t="s">
        <v>44</v>
      </c>
      <c r="C463" s="28" t="s">
        <v>41</v>
      </c>
      <c r="D463" s="28" t="s">
        <v>31</v>
      </c>
      <c r="E463" s="28" t="s">
        <v>71</v>
      </c>
      <c r="F463" s="28" t="s">
        <v>13</v>
      </c>
      <c r="G463" s="6">
        <v>7</v>
      </c>
      <c r="H463" s="15">
        <v>108000</v>
      </c>
      <c r="I463" s="15">
        <v>109800</v>
      </c>
      <c r="J463" s="15">
        <f>PRODUCT('Cleaned Data'!$G463,'Cleaned Data'!$I463)</f>
        <v>768600</v>
      </c>
      <c r="K463" s="15">
        <f>PRODUCT('Cleaned Data'!$G463,'Cleaned Data'!$H463)</f>
        <v>756000</v>
      </c>
      <c r="L463" s="15">
        <f>('Cleaned Data'!$J463-'Cleaned Data'!$K463)</f>
        <v>12600</v>
      </c>
      <c r="M463" s="23">
        <f>('Cleaned Data'!$L463/'Cleaned Data'!$J463)</f>
        <v>1.6393442622950821E-2</v>
      </c>
      <c r="N463" s="5" t="str">
        <f>IF('Cleaned Data'!$G463&gt;10,"High-Volume","Low-Volume")</f>
        <v>Low-Volume</v>
      </c>
      <c r="O463" s="5" t="str">
        <f>IF('Cleaned Data'!$I463&gt;=100000,"Premium","Standard")</f>
        <v>Premium</v>
      </c>
      <c r="P463" s="56" t="str">
        <f>IF(Zen_Elite_Shoe_Sales[[#This Row],[Revenue]]&gt;=1000000,"Top Performer","Average Performer")</f>
        <v>Average Performer</v>
      </c>
    </row>
    <row r="464" spans="1:16" x14ac:dyDescent="0.35">
      <c r="A464" s="46">
        <v>46485</v>
      </c>
      <c r="B464" s="28" t="s">
        <v>67</v>
      </c>
      <c r="C464" s="28" t="s">
        <v>15</v>
      </c>
      <c r="D464" s="28" t="s">
        <v>31</v>
      </c>
      <c r="E464" s="28" t="s">
        <v>59</v>
      </c>
      <c r="F464" s="28" t="s">
        <v>13</v>
      </c>
      <c r="G464" s="6">
        <v>1</v>
      </c>
      <c r="H464" s="15">
        <v>53000</v>
      </c>
      <c r="I464" s="15">
        <v>59000</v>
      </c>
      <c r="J464" s="15">
        <f>PRODUCT('Cleaned Data'!$G464,'Cleaned Data'!$I464)</f>
        <v>59000</v>
      </c>
      <c r="K464" s="15">
        <f>PRODUCT('Cleaned Data'!$G464,'Cleaned Data'!$H464)</f>
        <v>53000</v>
      </c>
      <c r="L464" s="15">
        <f>('Cleaned Data'!$J464-'Cleaned Data'!$K464)</f>
        <v>6000</v>
      </c>
      <c r="M464" s="23">
        <f>('Cleaned Data'!$L464/'Cleaned Data'!$J464)</f>
        <v>0.10169491525423729</v>
      </c>
      <c r="N464" s="5" t="str">
        <f>IF('Cleaned Data'!$G464&gt;10,"High-Volume","Low-Volume")</f>
        <v>Low-Volume</v>
      </c>
      <c r="O464" s="5" t="str">
        <f>IF('Cleaned Data'!$I464&gt;=100000,"Premium","Standard")</f>
        <v>Standard</v>
      </c>
      <c r="P464" s="56" t="str">
        <f>IF(Zen_Elite_Shoe_Sales[[#This Row],[Revenue]]&gt;=1000000,"Top Performer","Average Performer")</f>
        <v>Average Performer</v>
      </c>
    </row>
    <row r="465" spans="1:16" x14ac:dyDescent="0.35">
      <c r="A465" s="46">
        <v>46486</v>
      </c>
      <c r="B465" s="28" t="s">
        <v>44</v>
      </c>
      <c r="C465" s="28" t="s">
        <v>41</v>
      </c>
      <c r="D465" s="28" t="s">
        <v>31</v>
      </c>
      <c r="E465" s="28" t="s">
        <v>27</v>
      </c>
      <c r="F465" s="28" t="s">
        <v>23</v>
      </c>
      <c r="G465" s="6">
        <v>12</v>
      </c>
      <c r="H465" s="15">
        <v>113000</v>
      </c>
      <c r="I465" s="15">
        <v>114800</v>
      </c>
      <c r="J465" s="15">
        <f>PRODUCT('Cleaned Data'!$G465,'Cleaned Data'!$I465)</f>
        <v>1377600</v>
      </c>
      <c r="K465" s="15">
        <f>PRODUCT('Cleaned Data'!$G465,'Cleaned Data'!$H465)</f>
        <v>1356000</v>
      </c>
      <c r="L465" s="15">
        <f>('Cleaned Data'!$J465-'Cleaned Data'!$K465)</f>
        <v>21600</v>
      </c>
      <c r="M465" s="23">
        <f>('Cleaned Data'!$L465/'Cleaned Data'!$J465)</f>
        <v>1.5679442508710801E-2</v>
      </c>
      <c r="N465" s="5" t="str">
        <f>IF('Cleaned Data'!$G465&gt;10,"High-Volume","Low-Volume")</f>
        <v>High-Volume</v>
      </c>
      <c r="O465" s="5" t="str">
        <f>IF('Cleaned Data'!$I465&gt;=100000,"Premium","Standard")</f>
        <v>Premium</v>
      </c>
      <c r="P465" s="56" t="str">
        <f>IF(Zen_Elite_Shoe_Sales[[#This Row],[Revenue]]&gt;=1000000,"Top Performer","Average Performer")</f>
        <v>Top Performer</v>
      </c>
    </row>
    <row r="466" spans="1:16" x14ac:dyDescent="0.35">
      <c r="A466" s="46">
        <v>46487</v>
      </c>
      <c r="B466" s="28" t="s">
        <v>34</v>
      </c>
      <c r="C466" s="28" t="s">
        <v>41</v>
      </c>
      <c r="D466" s="28" t="s">
        <v>26</v>
      </c>
      <c r="E466" s="28" t="s">
        <v>59</v>
      </c>
      <c r="F466" s="28" t="s">
        <v>48</v>
      </c>
      <c r="G466" s="6">
        <v>13</v>
      </c>
      <c r="H466" s="15">
        <v>103000</v>
      </c>
      <c r="I466" s="15">
        <v>104800</v>
      </c>
      <c r="J466" s="15">
        <f>PRODUCT('Cleaned Data'!$G466,'Cleaned Data'!$I466)</f>
        <v>1362400</v>
      </c>
      <c r="K466" s="15">
        <f>PRODUCT('Cleaned Data'!$G466,'Cleaned Data'!$H466)</f>
        <v>1339000</v>
      </c>
      <c r="L466" s="15">
        <f>('Cleaned Data'!$J466-'Cleaned Data'!$K466)</f>
        <v>23400</v>
      </c>
      <c r="M466" s="23">
        <f>('Cleaned Data'!$L466/'Cleaned Data'!$J466)</f>
        <v>1.717557251908397E-2</v>
      </c>
      <c r="N466" s="5" t="str">
        <f>IF('Cleaned Data'!$G466&gt;10,"High-Volume","Low-Volume")</f>
        <v>High-Volume</v>
      </c>
      <c r="O466" s="5" t="str">
        <f>IF('Cleaned Data'!$I466&gt;=100000,"Premium","Standard")</f>
        <v>Premium</v>
      </c>
      <c r="P466" s="56" t="str">
        <f>IF(Zen_Elite_Shoe_Sales[[#This Row],[Revenue]]&gt;=1000000,"Top Performer","Average Performer")</f>
        <v>Top Performer</v>
      </c>
    </row>
    <row r="467" spans="1:16" x14ac:dyDescent="0.35">
      <c r="A467" s="46">
        <v>46488</v>
      </c>
      <c r="B467" s="28" t="s">
        <v>67</v>
      </c>
      <c r="C467" s="28" t="s">
        <v>15</v>
      </c>
      <c r="D467" s="28" t="s">
        <v>21</v>
      </c>
      <c r="E467" s="28" t="s">
        <v>59</v>
      </c>
      <c r="F467" s="28" t="s">
        <v>60</v>
      </c>
      <c r="G467" s="6">
        <v>11</v>
      </c>
      <c r="H467" s="15">
        <v>50000</v>
      </c>
      <c r="I467" s="15">
        <v>55000</v>
      </c>
      <c r="J467" s="15">
        <f>PRODUCT('Cleaned Data'!$G467,'Cleaned Data'!$I467)</f>
        <v>605000</v>
      </c>
      <c r="K467" s="15">
        <f>PRODUCT('Cleaned Data'!$G467,'Cleaned Data'!$H467)</f>
        <v>550000</v>
      </c>
      <c r="L467" s="15">
        <f>('Cleaned Data'!$J467-'Cleaned Data'!$K467)</f>
        <v>55000</v>
      </c>
      <c r="M467" s="23">
        <f>('Cleaned Data'!$L467/'Cleaned Data'!$J467)</f>
        <v>9.0909090909090912E-2</v>
      </c>
      <c r="N467" s="5" t="str">
        <f>IF('Cleaned Data'!$G467&gt;10,"High-Volume","Low-Volume")</f>
        <v>High-Volume</v>
      </c>
      <c r="O467" s="5" t="str">
        <f>IF('Cleaned Data'!$I467&gt;=100000,"Premium","Standard")</f>
        <v>Standard</v>
      </c>
      <c r="P467" s="56" t="str">
        <f>IF(Zen_Elite_Shoe_Sales[[#This Row],[Revenue]]&gt;=1000000,"Top Performer","Average Performer")</f>
        <v>Average Performer</v>
      </c>
    </row>
    <row r="468" spans="1:16" x14ac:dyDescent="0.35">
      <c r="A468" s="46">
        <v>46489</v>
      </c>
      <c r="B468" s="28" t="s">
        <v>73</v>
      </c>
      <c r="C468" s="28" t="s">
        <v>30</v>
      </c>
      <c r="D468" s="28" t="s">
        <v>21</v>
      </c>
      <c r="E468" s="28" t="s">
        <v>27</v>
      </c>
      <c r="F468" s="28" t="s">
        <v>37</v>
      </c>
      <c r="G468" s="6">
        <v>15</v>
      </c>
      <c r="H468" s="15">
        <v>71000</v>
      </c>
      <c r="I468" s="15">
        <v>74000</v>
      </c>
      <c r="J468" s="15">
        <f>PRODUCT('Cleaned Data'!$G468,'Cleaned Data'!$I468)</f>
        <v>1110000</v>
      </c>
      <c r="K468" s="15">
        <f>PRODUCT('Cleaned Data'!$G468,'Cleaned Data'!$H468)</f>
        <v>1065000</v>
      </c>
      <c r="L468" s="15">
        <f>('Cleaned Data'!$J468-'Cleaned Data'!$K468)</f>
        <v>45000</v>
      </c>
      <c r="M468" s="23">
        <f>('Cleaned Data'!$L468/'Cleaned Data'!$J468)</f>
        <v>4.0540540540540543E-2</v>
      </c>
      <c r="N468" s="5" t="str">
        <f>IF('Cleaned Data'!$G468&gt;10,"High-Volume","Low-Volume")</f>
        <v>High-Volume</v>
      </c>
      <c r="O468" s="5" t="str">
        <f>IF('Cleaned Data'!$I468&gt;=100000,"Premium","Standard")</f>
        <v>Standard</v>
      </c>
      <c r="P468" s="56" t="str">
        <f>IF(Zen_Elite_Shoe_Sales[[#This Row],[Revenue]]&gt;=1000000,"Top Performer","Average Performer")</f>
        <v>Top Performer</v>
      </c>
    </row>
    <row r="469" spans="1:16" x14ac:dyDescent="0.35">
      <c r="A469" s="46">
        <v>46490</v>
      </c>
      <c r="B469" s="28" t="s">
        <v>19</v>
      </c>
      <c r="C469" s="28" t="s">
        <v>50</v>
      </c>
      <c r="D469" s="28" t="s">
        <v>11</v>
      </c>
      <c r="E469" s="28" t="s">
        <v>71</v>
      </c>
      <c r="F469" s="28" t="s">
        <v>13</v>
      </c>
      <c r="G469" s="6">
        <v>10</v>
      </c>
      <c r="H469" s="15">
        <v>46000</v>
      </c>
      <c r="I469" s="15">
        <v>51000</v>
      </c>
      <c r="J469" s="15">
        <f>PRODUCT('Cleaned Data'!$G469,'Cleaned Data'!$I469)</f>
        <v>510000</v>
      </c>
      <c r="K469" s="15">
        <f>PRODUCT('Cleaned Data'!$G469,'Cleaned Data'!$H469)</f>
        <v>460000</v>
      </c>
      <c r="L469" s="15">
        <f>('Cleaned Data'!$J469-'Cleaned Data'!$K469)</f>
        <v>50000</v>
      </c>
      <c r="M469" s="23">
        <f>('Cleaned Data'!$L469/'Cleaned Data'!$J469)</f>
        <v>9.8039215686274508E-2</v>
      </c>
      <c r="N469" s="5" t="str">
        <f>IF('Cleaned Data'!$G469&gt;10,"High-Volume","Low-Volume")</f>
        <v>Low-Volume</v>
      </c>
      <c r="O469" s="5" t="str">
        <f>IF('Cleaned Data'!$I469&gt;=100000,"Premium","Standard")</f>
        <v>Standard</v>
      </c>
      <c r="P469" s="56" t="str">
        <f>IF(Zen_Elite_Shoe_Sales[[#This Row],[Revenue]]&gt;=1000000,"Top Performer","Average Performer")</f>
        <v>Average Performer</v>
      </c>
    </row>
    <row r="470" spans="1:16" x14ac:dyDescent="0.35">
      <c r="A470" s="46">
        <v>46491</v>
      </c>
      <c r="B470" s="28" t="s">
        <v>64</v>
      </c>
      <c r="C470" s="28" t="s">
        <v>41</v>
      </c>
      <c r="D470" s="28" t="s">
        <v>21</v>
      </c>
      <c r="E470" s="28" t="s">
        <v>12</v>
      </c>
      <c r="F470" s="28" t="s">
        <v>45</v>
      </c>
      <c r="G470" s="6">
        <v>4</v>
      </c>
      <c r="H470" s="15">
        <v>106000</v>
      </c>
      <c r="I470" s="15">
        <v>107800</v>
      </c>
      <c r="J470" s="15">
        <f>PRODUCT('Cleaned Data'!$G470,'Cleaned Data'!$I470)</f>
        <v>431200</v>
      </c>
      <c r="K470" s="15">
        <f>PRODUCT('Cleaned Data'!$G470,'Cleaned Data'!$H470)</f>
        <v>424000</v>
      </c>
      <c r="L470" s="15">
        <f>('Cleaned Data'!$J470-'Cleaned Data'!$K470)</f>
        <v>7200</v>
      </c>
      <c r="M470" s="23">
        <f>('Cleaned Data'!$L470/'Cleaned Data'!$J470)</f>
        <v>1.6697588126159554E-2</v>
      </c>
      <c r="N470" s="5" t="str">
        <f>IF('Cleaned Data'!$G470&gt;10,"High-Volume","Low-Volume")</f>
        <v>Low-Volume</v>
      </c>
      <c r="O470" s="5" t="str">
        <f>IF('Cleaned Data'!$I470&gt;=100000,"Premium","Standard")</f>
        <v>Premium</v>
      </c>
      <c r="P470" s="56" t="str">
        <f>IF(Zen_Elite_Shoe_Sales[[#This Row],[Revenue]]&gt;=1000000,"Top Performer","Average Performer")</f>
        <v>Average Performer</v>
      </c>
    </row>
    <row r="471" spans="1:16" x14ac:dyDescent="0.35">
      <c r="A471" s="46">
        <v>46492</v>
      </c>
      <c r="B471" s="28" t="s">
        <v>73</v>
      </c>
      <c r="C471" s="28" t="s">
        <v>30</v>
      </c>
      <c r="D471" s="28" t="s">
        <v>11</v>
      </c>
      <c r="E471" s="28" t="s">
        <v>12</v>
      </c>
      <c r="F471" s="28" t="s">
        <v>13</v>
      </c>
      <c r="G471" s="6">
        <v>8</v>
      </c>
      <c r="H471" s="15">
        <v>77000</v>
      </c>
      <c r="I471" s="15">
        <v>80000</v>
      </c>
      <c r="J471" s="15">
        <f>PRODUCT('Cleaned Data'!$G471,'Cleaned Data'!$I471)</f>
        <v>640000</v>
      </c>
      <c r="K471" s="15">
        <f>PRODUCT('Cleaned Data'!$G471,'Cleaned Data'!$H471)</f>
        <v>616000</v>
      </c>
      <c r="L471" s="15">
        <f>('Cleaned Data'!$J471-'Cleaned Data'!$K471)</f>
        <v>24000</v>
      </c>
      <c r="M471" s="23">
        <f>('Cleaned Data'!$L471/'Cleaned Data'!$J471)</f>
        <v>3.7499999999999999E-2</v>
      </c>
      <c r="N471" s="5" t="str">
        <f>IF('Cleaned Data'!$G471&gt;10,"High-Volume","Low-Volume")</f>
        <v>Low-Volume</v>
      </c>
      <c r="O471" s="5" t="str">
        <f>IF('Cleaned Data'!$I471&gt;=100000,"Premium","Standard")</f>
        <v>Standard</v>
      </c>
      <c r="P471" s="56" t="str">
        <f>IF(Zen_Elite_Shoe_Sales[[#This Row],[Revenue]]&gt;=1000000,"Top Performer","Average Performer")</f>
        <v>Average Performer</v>
      </c>
    </row>
    <row r="472" spans="1:16" x14ac:dyDescent="0.35">
      <c r="A472" s="46">
        <v>46493</v>
      </c>
      <c r="B472" s="28" t="s">
        <v>19</v>
      </c>
      <c r="C472" s="28" t="s">
        <v>50</v>
      </c>
      <c r="D472" s="28" t="s">
        <v>11</v>
      </c>
      <c r="E472" s="28" t="s">
        <v>71</v>
      </c>
      <c r="F472" s="28" t="s">
        <v>33</v>
      </c>
      <c r="G472" s="6">
        <v>3</v>
      </c>
      <c r="H472" s="15">
        <v>45000</v>
      </c>
      <c r="I472" s="15">
        <v>50000</v>
      </c>
      <c r="J472" s="15">
        <f>PRODUCT('Cleaned Data'!$G472,'Cleaned Data'!$I472)</f>
        <v>150000</v>
      </c>
      <c r="K472" s="15">
        <f>PRODUCT('Cleaned Data'!$G472,'Cleaned Data'!$H472)</f>
        <v>135000</v>
      </c>
      <c r="L472" s="15">
        <f>('Cleaned Data'!$J472-'Cleaned Data'!$K472)</f>
        <v>15000</v>
      </c>
      <c r="M472" s="23">
        <f>('Cleaned Data'!$L472/'Cleaned Data'!$J472)</f>
        <v>0.1</v>
      </c>
      <c r="N472" s="5" t="str">
        <f>IF('Cleaned Data'!$G472&gt;10,"High-Volume","Low-Volume")</f>
        <v>Low-Volume</v>
      </c>
      <c r="O472" s="5" t="str">
        <f>IF('Cleaned Data'!$I472&gt;=100000,"Premium","Standard")</f>
        <v>Standard</v>
      </c>
      <c r="P472" s="56" t="str">
        <f>IF(Zen_Elite_Shoe_Sales[[#This Row],[Revenue]]&gt;=1000000,"Top Performer","Average Performer")</f>
        <v>Average Performer</v>
      </c>
    </row>
    <row r="473" spans="1:16" x14ac:dyDescent="0.35">
      <c r="A473" s="46">
        <v>46494</v>
      </c>
      <c r="B473" s="28" t="s">
        <v>67</v>
      </c>
      <c r="C473" s="28" t="s">
        <v>15</v>
      </c>
      <c r="D473" s="28" t="s">
        <v>31</v>
      </c>
      <c r="E473" s="28" t="s">
        <v>59</v>
      </c>
      <c r="F473" s="28" t="s">
        <v>33</v>
      </c>
      <c r="G473" s="6">
        <v>3</v>
      </c>
      <c r="H473" s="15">
        <v>65000</v>
      </c>
      <c r="I473" s="15">
        <v>71500</v>
      </c>
      <c r="J473" s="15">
        <f>PRODUCT('Cleaned Data'!$G473,'Cleaned Data'!$I473)</f>
        <v>214500</v>
      </c>
      <c r="K473" s="15">
        <f>PRODUCT('Cleaned Data'!$G473,'Cleaned Data'!$H473)</f>
        <v>195000</v>
      </c>
      <c r="L473" s="15">
        <f>('Cleaned Data'!$J473-'Cleaned Data'!$K473)</f>
        <v>19500</v>
      </c>
      <c r="M473" s="23">
        <f>('Cleaned Data'!$L473/'Cleaned Data'!$J473)</f>
        <v>9.0909090909090912E-2</v>
      </c>
      <c r="N473" s="5" t="str">
        <f>IF('Cleaned Data'!$G473&gt;10,"High-Volume","Low-Volume")</f>
        <v>Low-Volume</v>
      </c>
      <c r="O473" s="5" t="str">
        <f>IF('Cleaned Data'!$I473&gt;=100000,"Premium","Standard")</f>
        <v>Standard</v>
      </c>
      <c r="P473" s="56" t="str">
        <f>IF(Zen_Elite_Shoe_Sales[[#This Row],[Revenue]]&gt;=1000000,"Top Performer","Average Performer")</f>
        <v>Average Performer</v>
      </c>
    </row>
    <row r="474" spans="1:16" x14ac:dyDescent="0.35">
      <c r="A474" s="46">
        <v>46495</v>
      </c>
      <c r="B474" s="28" t="s">
        <v>53</v>
      </c>
      <c r="C474" s="28" t="s">
        <v>15</v>
      </c>
      <c r="D474" s="28" t="s">
        <v>21</v>
      </c>
      <c r="E474" s="28" t="s">
        <v>27</v>
      </c>
      <c r="F474" s="28" t="s">
        <v>28</v>
      </c>
      <c r="G474" s="6">
        <v>14</v>
      </c>
      <c r="H474" s="15">
        <v>74000</v>
      </c>
      <c r="I474" s="15">
        <v>77000</v>
      </c>
      <c r="J474" s="15">
        <f>PRODUCT('Cleaned Data'!$G474,'Cleaned Data'!$I474)</f>
        <v>1078000</v>
      </c>
      <c r="K474" s="15">
        <f>PRODUCT('Cleaned Data'!$G474,'Cleaned Data'!$H474)</f>
        <v>1036000</v>
      </c>
      <c r="L474" s="15">
        <f>('Cleaned Data'!$J474-'Cleaned Data'!$K474)</f>
        <v>42000</v>
      </c>
      <c r="M474" s="23">
        <f>('Cleaned Data'!$L474/'Cleaned Data'!$J474)</f>
        <v>3.896103896103896E-2</v>
      </c>
      <c r="N474" s="5" t="str">
        <f>IF('Cleaned Data'!$G474&gt;10,"High-Volume","Low-Volume")</f>
        <v>High-Volume</v>
      </c>
      <c r="O474" s="5" t="str">
        <f>IF('Cleaned Data'!$I474&gt;=100000,"Premium","Standard")</f>
        <v>Standard</v>
      </c>
      <c r="P474" s="56" t="str">
        <f>IF(Zen_Elite_Shoe_Sales[[#This Row],[Revenue]]&gt;=1000000,"Top Performer","Average Performer")</f>
        <v>Top Performer</v>
      </c>
    </row>
    <row r="475" spans="1:16" x14ac:dyDescent="0.35">
      <c r="A475" s="46">
        <v>46496</v>
      </c>
      <c r="B475" s="28" t="s">
        <v>34</v>
      </c>
      <c r="C475" s="28" t="s">
        <v>41</v>
      </c>
      <c r="D475" s="28" t="s">
        <v>31</v>
      </c>
      <c r="E475" s="28" t="s">
        <v>71</v>
      </c>
      <c r="F475" s="28" t="s">
        <v>48</v>
      </c>
      <c r="G475" s="6">
        <v>5</v>
      </c>
      <c r="H475" s="15">
        <v>90000</v>
      </c>
      <c r="I475" s="15">
        <v>91800</v>
      </c>
      <c r="J475" s="15">
        <f>PRODUCT('Cleaned Data'!$G475,'Cleaned Data'!$I475)</f>
        <v>459000</v>
      </c>
      <c r="K475" s="15">
        <f>PRODUCT('Cleaned Data'!$G475,'Cleaned Data'!$H475)</f>
        <v>450000</v>
      </c>
      <c r="L475" s="15">
        <f>('Cleaned Data'!$J475-'Cleaned Data'!$K475)</f>
        <v>9000</v>
      </c>
      <c r="M475" s="23">
        <f>('Cleaned Data'!$L475/'Cleaned Data'!$J475)</f>
        <v>1.9607843137254902E-2</v>
      </c>
      <c r="N475" s="5" t="str">
        <f>IF('Cleaned Data'!$G475&gt;10,"High-Volume","Low-Volume")</f>
        <v>Low-Volume</v>
      </c>
      <c r="O475" s="5" t="str">
        <f>IF('Cleaned Data'!$I475&gt;=100000,"Premium","Standard")</f>
        <v>Standard</v>
      </c>
      <c r="P475" s="56" t="str">
        <f>IF(Zen_Elite_Shoe_Sales[[#This Row],[Revenue]]&gt;=1000000,"Top Performer","Average Performer")</f>
        <v>Average Performer</v>
      </c>
    </row>
    <row r="476" spans="1:16" x14ac:dyDescent="0.35">
      <c r="A476" s="46">
        <v>46497</v>
      </c>
      <c r="B476" s="28" t="s">
        <v>78</v>
      </c>
      <c r="C476" s="28" t="s">
        <v>41</v>
      </c>
      <c r="D476" s="28" t="s">
        <v>16</v>
      </c>
      <c r="E476" s="28" t="s">
        <v>27</v>
      </c>
      <c r="F476" s="28" t="s">
        <v>28</v>
      </c>
      <c r="G476" s="6">
        <v>2</v>
      </c>
      <c r="H476" s="15">
        <v>120000</v>
      </c>
      <c r="I476" s="15">
        <v>121800</v>
      </c>
      <c r="J476" s="15">
        <f>PRODUCT('Cleaned Data'!$G476,'Cleaned Data'!$I476)</f>
        <v>243600</v>
      </c>
      <c r="K476" s="15">
        <f>PRODUCT('Cleaned Data'!$G476,'Cleaned Data'!$H476)</f>
        <v>240000</v>
      </c>
      <c r="L476" s="15">
        <f>('Cleaned Data'!$J476-'Cleaned Data'!$K476)</f>
        <v>3600</v>
      </c>
      <c r="M476" s="23">
        <f>('Cleaned Data'!$L476/'Cleaned Data'!$J476)</f>
        <v>1.4778325123152709E-2</v>
      </c>
      <c r="N476" s="5" t="str">
        <f>IF('Cleaned Data'!$G476&gt;10,"High-Volume","Low-Volume")</f>
        <v>Low-Volume</v>
      </c>
      <c r="O476" s="5" t="str">
        <f>IF('Cleaned Data'!$I476&gt;=100000,"Premium","Standard")</f>
        <v>Premium</v>
      </c>
      <c r="P476" s="56" t="str">
        <f>IF(Zen_Elite_Shoe_Sales[[#This Row],[Revenue]]&gt;=1000000,"Top Performer","Average Performer")</f>
        <v>Average Performer</v>
      </c>
    </row>
  </sheetData>
  <phoneticPr fontId="3" type="noConversion"/>
  <conditionalFormatting sqref="B2">
    <cfRule type="top10" dxfId="448" priority="2" rank="1"/>
  </conditionalFormatting>
  <conditionalFormatting sqref="B1:B1048576">
    <cfRule type="top10" dxfId="447" priority="1" rank="1"/>
  </conditionalFormatting>
  <pageMargins left="0.7" right="0.7" top="0.75" bottom="0.75" header="0.3" footer="0.3"/>
  <pageSetup orientation="portrait"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C0EA7-2FAF-4F90-876B-C73C528CBF5D}">
  <dimension ref="A1:AD22"/>
  <sheetViews>
    <sheetView showGridLines="0" topLeftCell="A7" zoomScale="80" zoomScaleNormal="80" workbookViewId="0">
      <selection activeCell="G8" sqref="G8"/>
    </sheetView>
  </sheetViews>
  <sheetFormatPr defaultColWidth="11.7265625" defaultRowHeight="14.5" x14ac:dyDescent="0.35"/>
  <cols>
    <col min="2" max="2" width="13.36328125" bestFit="1" customWidth="1"/>
    <col min="3" max="3" width="9.54296875" bestFit="1" customWidth="1"/>
    <col min="4" max="4" width="10.54296875" bestFit="1" customWidth="1"/>
    <col min="5" max="5" width="17.7265625" bestFit="1" customWidth="1"/>
    <col min="6" max="6" width="20.08984375" bestFit="1" customWidth="1"/>
    <col min="7" max="7" width="12.1796875" bestFit="1" customWidth="1"/>
    <col min="10" max="10" width="11.36328125" bestFit="1" customWidth="1"/>
    <col min="11" max="11" width="13.1796875" bestFit="1" customWidth="1"/>
    <col min="14" max="14" width="11.36328125" bestFit="1" customWidth="1"/>
    <col min="15" max="15" width="12.1796875" bestFit="1" customWidth="1"/>
    <col min="18" max="18" width="11.54296875" bestFit="1" customWidth="1"/>
    <col min="19" max="19" width="12.1796875" bestFit="1" customWidth="1"/>
    <col min="22" max="22" width="12.81640625" bestFit="1" customWidth="1"/>
    <col min="23" max="23" width="17.7265625" bestFit="1" customWidth="1"/>
    <col min="26" max="26" width="19" bestFit="1" customWidth="1"/>
    <col min="27" max="28" width="13.1796875" bestFit="1" customWidth="1"/>
    <col min="29" max="29" width="11.36328125" bestFit="1" customWidth="1"/>
    <col min="30" max="30" width="20.54296875" bestFit="1" customWidth="1"/>
  </cols>
  <sheetData>
    <row r="1" spans="1:30" ht="21" x14ac:dyDescent="0.5">
      <c r="A1" s="25"/>
      <c r="B1" s="41" t="s">
        <v>82</v>
      </c>
    </row>
    <row r="2" spans="1:30" x14ac:dyDescent="0.35">
      <c r="B2" t="s">
        <v>83</v>
      </c>
      <c r="C2" t="s">
        <v>94</v>
      </c>
      <c r="D2" t="s">
        <v>84</v>
      </c>
      <c r="E2" t="s">
        <v>86</v>
      </c>
      <c r="F2" t="s">
        <v>85</v>
      </c>
    </row>
    <row r="3" spans="1:30" ht="15.5" x14ac:dyDescent="0.35">
      <c r="B3" s="54">
        <v>338533500</v>
      </c>
      <c r="C3" s="54">
        <v>324378000</v>
      </c>
      <c r="D3" s="54">
        <v>14155500</v>
      </c>
      <c r="E3" s="26">
        <v>3825</v>
      </c>
      <c r="F3" s="59">
        <v>5.1812326665948621E-2</v>
      </c>
    </row>
    <row r="4" spans="1:30" ht="18.5" x14ac:dyDescent="0.45">
      <c r="B4" s="42"/>
      <c r="C4" s="42"/>
      <c r="D4" s="42"/>
    </row>
    <row r="7" spans="1:30" x14ac:dyDescent="0.35">
      <c r="B7" s="21" t="s">
        <v>5</v>
      </c>
      <c r="C7" t="s">
        <v>93</v>
      </c>
      <c r="F7" s="21" t="s">
        <v>5</v>
      </c>
      <c r="G7" t="s">
        <v>95</v>
      </c>
      <c r="J7" s="21" t="s">
        <v>1</v>
      </c>
      <c r="K7" t="s">
        <v>93</v>
      </c>
      <c r="N7" s="21" t="s">
        <v>1</v>
      </c>
      <c r="O7" t="s">
        <v>95</v>
      </c>
      <c r="R7" s="21" t="s">
        <v>2</v>
      </c>
      <c r="S7" t="s">
        <v>93</v>
      </c>
      <c r="V7" s="21" t="s">
        <v>4</v>
      </c>
      <c r="W7" t="s">
        <v>86</v>
      </c>
      <c r="Z7" s="21" t="s">
        <v>90</v>
      </c>
      <c r="AA7" t="s">
        <v>93</v>
      </c>
      <c r="AC7" s="21" t="s">
        <v>1</v>
      </c>
      <c r="AD7" t="s">
        <v>124</v>
      </c>
    </row>
    <row r="8" spans="1:30" x14ac:dyDescent="0.35">
      <c r="B8" s="22" t="s">
        <v>18</v>
      </c>
      <c r="C8" s="17">
        <v>29283200</v>
      </c>
      <c r="F8" s="22" t="s">
        <v>28</v>
      </c>
      <c r="G8" s="17">
        <v>1191100</v>
      </c>
      <c r="J8" s="22" t="s">
        <v>78</v>
      </c>
      <c r="K8" s="17">
        <v>62057800</v>
      </c>
      <c r="N8" s="22" t="s">
        <v>67</v>
      </c>
      <c r="O8" s="17">
        <v>2924500</v>
      </c>
      <c r="R8" s="22" t="s">
        <v>41</v>
      </c>
      <c r="S8" s="17">
        <v>214210000</v>
      </c>
      <c r="V8" s="22" t="s">
        <v>47</v>
      </c>
      <c r="W8" s="27">
        <v>522</v>
      </c>
      <c r="Z8" s="22" t="s">
        <v>91</v>
      </c>
      <c r="AA8" s="17">
        <v>186690400</v>
      </c>
      <c r="AC8" s="22" t="s">
        <v>73</v>
      </c>
      <c r="AD8" s="17">
        <v>60</v>
      </c>
    </row>
    <row r="9" spans="1:30" x14ac:dyDescent="0.35">
      <c r="B9" s="22" t="s">
        <v>28</v>
      </c>
      <c r="C9" s="17">
        <v>28419100</v>
      </c>
      <c r="F9" s="22" t="s">
        <v>56</v>
      </c>
      <c r="G9" s="17">
        <v>1166900</v>
      </c>
      <c r="J9" s="22" t="s">
        <v>44</v>
      </c>
      <c r="K9" s="17">
        <v>53660400</v>
      </c>
      <c r="N9" s="22" t="s">
        <v>19</v>
      </c>
      <c r="O9" s="17">
        <v>2709000</v>
      </c>
      <c r="R9" s="22" t="s">
        <v>15</v>
      </c>
      <c r="S9" s="17">
        <v>61979000</v>
      </c>
      <c r="V9" s="22" t="s">
        <v>59</v>
      </c>
      <c r="W9" s="27">
        <v>553</v>
      </c>
      <c r="Z9" s="22" t="s">
        <v>92</v>
      </c>
      <c r="AA9" s="17">
        <v>151843100</v>
      </c>
      <c r="AC9" s="22" t="s">
        <v>64</v>
      </c>
      <c r="AD9" s="17">
        <v>57</v>
      </c>
    </row>
    <row r="10" spans="1:30" x14ac:dyDescent="0.35">
      <c r="B10" s="22" t="s">
        <v>37</v>
      </c>
      <c r="C10" s="17">
        <v>26676000</v>
      </c>
      <c r="F10" s="22" t="s">
        <v>63</v>
      </c>
      <c r="G10" s="17">
        <v>1151200</v>
      </c>
      <c r="J10" s="22" t="s">
        <v>34</v>
      </c>
      <c r="K10" s="17">
        <v>52999600</v>
      </c>
      <c r="N10" s="22" t="s">
        <v>73</v>
      </c>
      <c r="O10" s="17">
        <v>2675500</v>
      </c>
      <c r="R10" s="22" t="s">
        <v>30</v>
      </c>
      <c r="S10" s="17">
        <v>35628500</v>
      </c>
      <c r="V10" s="22" t="s">
        <v>71</v>
      </c>
      <c r="W10" s="27">
        <v>614</v>
      </c>
      <c r="Z10" s="22" t="s">
        <v>87</v>
      </c>
      <c r="AA10" s="17">
        <v>338533500</v>
      </c>
      <c r="AC10" s="22" t="s">
        <v>67</v>
      </c>
      <c r="AD10" s="17">
        <v>60</v>
      </c>
    </row>
    <row r="11" spans="1:30" x14ac:dyDescent="0.35">
      <c r="B11" s="22" t="s">
        <v>60</v>
      </c>
      <c r="C11" s="17">
        <v>25040200</v>
      </c>
      <c r="F11" s="22" t="s">
        <v>37</v>
      </c>
      <c r="G11" s="17">
        <v>1125000</v>
      </c>
      <c r="J11" s="22" t="s">
        <v>64</v>
      </c>
      <c r="K11" s="17">
        <v>45492200</v>
      </c>
      <c r="N11" s="22" t="s">
        <v>53</v>
      </c>
      <c r="O11" s="17">
        <v>2462500</v>
      </c>
      <c r="R11" s="22" t="s">
        <v>50</v>
      </c>
      <c r="S11" s="17">
        <v>26716000</v>
      </c>
      <c r="V11" s="22" t="s">
        <v>27</v>
      </c>
      <c r="W11" s="27">
        <v>924</v>
      </c>
      <c r="AC11" s="22" t="s">
        <v>44</v>
      </c>
      <c r="AD11" s="17">
        <v>62</v>
      </c>
    </row>
    <row r="12" spans="1:30" x14ac:dyDescent="0.35">
      <c r="B12" s="22" t="s">
        <v>63</v>
      </c>
      <c r="C12" s="17">
        <v>24937200</v>
      </c>
      <c r="F12" s="22" t="s">
        <v>13</v>
      </c>
      <c r="G12" s="17">
        <v>1120500</v>
      </c>
      <c r="J12" s="22" t="s">
        <v>73</v>
      </c>
      <c r="K12" s="17">
        <v>35628500</v>
      </c>
      <c r="N12" s="22" t="s">
        <v>78</v>
      </c>
      <c r="O12" s="17">
        <v>919800</v>
      </c>
      <c r="R12" s="22" t="s">
        <v>87</v>
      </c>
      <c r="S12" s="17">
        <v>338533500</v>
      </c>
      <c r="V12" s="22" t="s">
        <v>12</v>
      </c>
      <c r="W12" s="27">
        <v>1212</v>
      </c>
      <c r="AC12" s="22" t="s">
        <v>53</v>
      </c>
      <c r="AD12" s="17">
        <v>49</v>
      </c>
    </row>
    <row r="13" spans="1:30" x14ac:dyDescent="0.35">
      <c r="B13" s="22" t="s">
        <v>33</v>
      </c>
      <c r="C13" s="17">
        <v>24743800</v>
      </c>
      <c r="F13" s="22" t="s">
        <v>52</v>
      </c>
      <c r="G13" s="17">
        <v>1064900</v>
      </c>
      <c r="J13" s="22" t="s">
        <v>67</v>
      </c>
      <c r="K13" s="17">
        <v>31233500</v>
      </c>
      <c r="N13" s="22" t="s">
        <v>34</v>
      </c>
      <c r="O13" s="17">
        <v>876600</v>
      </c>
      <c r="V13" s="22" t="s">
        <v>87</v>
      </c>
      <c r="W13" s="27">
        <v>3825</v>
      </c>
      <c r="Z13" s="21" t="s">
        <v>90</v>
      </c>
      <c r="AA13" t="s">
        <v>119</v>
      </c>
      <c r="AC13" s="22" t="s">
        <v>78</v>
      </c>
      <c r="AD13" s="17">
        <v>61</v>
      </c>
    </row>
    <row r="14" spans="1:30" x14ac:dyDescent="0.35">
      <c r="B14" s="22" t="s">
        <v>23</v>
      </c>
      <c r="C14" s="17">
        <v>24377400</v>
      </c>
      <c r="F14" s="22" t="s">
        <v>18</v>
      </c>
      <c r="G14" s="17">
        <v>1035200</v>
      </c>
      <c r="J14" s="22" t="s">
        <v>53</v>
      </c>
      <c r="K14" s="17">
        <v>30745500</v>
      </c>
      <c r="N14" s="22" t="s">
        <v>44</v>
      </c>
      <c r="O14" s="17">
        <v>797400</v>
      </c>
      <c r="Z14" s="22" t="s">
        <v>117</v>
      </c>
      <c r="AA14" s="27">
        <v>1908</v>
      </c>
      <c r="AC14" s="22" t="s">
        <v>34</v>
      </c>
      <c r="AD14" s="17">
        <v>60</v>
      </c>
    </row>
    <row r="15" spans="1:30" x14ac:dyDescent="0.35">
      <c r="B15" s="22" t="s">
        <v>48</v>
      </c>
      <c r="C15" s="17">
        <v>24263100</v>
      </c>
      <c r="F15" s="22" t="s">
        <v>33</v>
      </c>
      <c r="G15" s="17">
        <v>1034800</v>
      </c>
      <c r="J15" s="22" t="s">
        <v>19</v>
      </c>
      <c r="K15" s="17">
        <v>26716000</v>
      </c>
      <c r="N15" s="22" t="s">
        <v>64</v>
      </c>
      <c r="O15" s="17">
        <v>790200</v>
      </c>
      <c r="R15" s="21" t="s">
        <v>2</v>
      </c>
      <c r="S15" t="s">
        <v>95</v>
      </c>
      <c r="Z15" s="22" t="s">
        <v>118</v>
      </c>
      <c r="AA15" s="27">
        <v>1917</v>
      </c>
      <c r="AC15" s="22" t="s">
        <v>19</v>
      </c>
      <c r="AD15" s="17">
        <v>66</v>
      </c>
    </row>
    <row r="16" spans="1:30" x14ac:dyDescent="0.35">
      <c r="B16" s="22" t="s">
        <v>13</v>
      </c>
      <c r="C16" s="17">
        <v>23010500</v>
      </c>
      <c r="F16" s="22" t="s">
        <v>60</v>
      </c>
      <c r="G16" s="17">
        <v>1016200</v>
      </c>
      <c r="J16" s="22" t="s">
        <v>87</v>
      </c>
      <c r="K16" s="17">
        <v>338533500</v>
      </c>
      <c r="N16" s="22" t="s">
        <v>87</v>
      </c>
      <c r="O16" s="17">
        <v>14155500</v>
      </c>
      <c r="R16" s="22" t="s">
        <v>15</v>
      </c>
      <c r="S16" s="17">
        <v>5387000</v>
      </c>
      <c r="Z16" s="22" t="s">
        <v>87</v>
      </c>
      <c r="AA16" s="27">
        <v>3825</v>
      </c>
      <c r="AC16" s="22" t="s">
        <v>87</v>
      </c>
      <c r="AD16" s="17">
        <v>475</v>
      </c>
    </row>
    <row r="17" spans="2:19" x14ac:dyDescent="0.35">
      <c r="B17" s="22" t="s">
        <v>39</v>
      </c>
      <c r="C17" s="17">
        <v>22482200</v>
      </c>
      <c r="F17" s="22" t="s">
        <v>23</v>
      </c>
      <c r="G17" s="17">
        <v>979400</v>
      </c>
      <c r="R17" s="22" t="s">
        <v>41</v>
      </c>
      <c r="S17" s="17">
        <v>3384000</v>
      </c>
    </row>
    <row r="18" spans="2:19" x14ac:dyDescent="0.35">
      <c r="B18" s="22" t="s">
        <v>45</v>
      </c>
      <c r="C18" s="17">
        <v>22206900</v>
      </c>
      <c r="F18" s="22" t="s">
        <v>48</v>
      </c>
      <c r="G18" s="17">
        <v>852100</v>
      </c>
      <c r="R18" s="22" t="s">
        <v>50</v>
      </c>
      <c r="S18" s="17">
        <v>2709000</v>
      </c>
    </row>
    <row r="19" spans="2:19" x14ac:dyDescent="0.35">
      <c r="B19" s="22" t="s">
        <v>56</v>
      </c>
      <c r="C19" s="17">
        <v>21397900</v>
      </c>
      <c r="F19" s="22" t="s">
        <v>43</v>
      </c>
      <c r="G19" s="17">
        <v>820100</v>
      </c>
      <c r="R19" s="22" t="s">
        <v>30</v>
      </c>
      <c r="S19" s="17">
        <v>2675500</v>
      </c>
    </row>
    <row r="20" spans="2:19" x14ac:dyDescent="0.35">
      <c r="B20" s="22" t="s">
        <v>52</v>
      </c>
      <c r="C20" s="17">
        <v>21209900</v>
      </c>
      <c r="F20" s="22" t="s">
        <v>39</v>
      </c>
      <c r="G20" s="17">
        <v>812200</v>
      </c>
      <c r="N20" s="17"/>
      <c r="R20" s="22" t="s">
        <v>87</v>
      </c>
      <c r="S20" s="17">
        <v>14155500</v>
      </c>
    </row>
    <row r="21" spans="2:19" x14ac:dyDescent="0.35">
      <c r="B21" s="22" t="s">
        <v>43</v>
      </c>
      <c r="C21" s="17">
        <v>20486100</v>
      </c>
      <c r="F21" s="22" t="s">
        <v>45</v>
      </c>
      <c r="G21" s="17">
        <v>785900</v>
      </c>
      <c r="J21" s="18"/>
    </row>
    <row r="22" spans="2:19" x14ac:dyDescent="0.35">
      <c r="B22" s="22" t="s">
        <v>87</v>
      </c>
      <c r="C22" s="17">
        <v>338533500</v>
      </c>
      <c r="F22" s="22" t="s">
        <v>87</v>
      </c>
      <c r="G22" s="17">
        <v>14155500</v>
      </c>
    </row>
  </sheetData>
  <conditionalFormatting pivot="1" sqref="AA8:AA9">
    <cfRule type="top10" dxfId="428" priority="11" rank="1"/>
  </conditionalFormatting>
  <conditionalFormatting pivot="1" sqref="W8:W12">
    <cfRule type="top10" dxfId="427" priority="10" rank="1"/>
  </conditionalFormatting>
  <conditionalFormatting pivot="1" sqref="C8:C21">
    <cfRule type="top10" dxfId="426" priority="7" rank="10"/>
  </conditionalFormatting>
  <conditionalFormatting sqref="Z14:Z15">
    <cfRule type="top10" dxfId="425" priority="6" rank="1"/>
  </conditionalFormatting>
  <conditionalFormatting pivot="1" sqref="O8:O15">
    <cfRule type="top10" dxfId="423" priority="3" bottom="1" rank="4"/>
  </conditionalFormatting>
  <conditionalFormatting pivot="1" sqref="K8:K15">
    <cfRule type="top10" dxfId="422" priority="2" rank="4"/>
  </conditionalFormatting>
  <pageMargins left="0.7" right="0.7" top="0.75" bottom="0.75" header="0.3" footer="0.3"/>
  <pageSetup orientation="portrait" horizontalDpi="1200" verticalDpi="1200" r:id="rId12"/>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5FC7A-D907-4B49-A49B-48A745F0C9F0}">
  <dimension ref="A1:B37"/>
  <sheetViews>
    <sheetView showGridLines="0" topLeftCell="A9" workbookViewId="0">
      <selection activeCell="G30" sqref="G30"/>
    </sheetView>
  </sheetViews>
  <sheetFormatPr defaultRowHeight="14.5" x14ac:dyDescent="0.35"/>
  <cols>
    <col min="2" max="2" width="14.36328125" bestFit="1" customWidth="1"/>
  </cols>
  <sheetData>
    <row r="1" spans="1:2" x14ac:dyDescent="0.35">
      <c r="A1" s="18" t="s">
        <v>96</v>
      </c>
    </row>
    <row r="2" spans="1:2" x14ac:dyDescent="0.35">
      <c r="A2" s="18"/>
    </row>
    <row r="3" spans="1:2" ht="18.5" x14ac:dyDescent="0.45">
      <c r="A3" s="34" t="s">
        <v>97</v>
      </c>
    </row>
    <row r="4" spans="1:2" x14ac:dyDescent="0.35">
      <c r="A4" s="35" t="s">
        <v>105</v>
      </c>
    </row>
    <row r="5" spans="1:2" ht="18.5" x14ac:dyDescent="0.45">
      <c r="A5" s="34"/>
      <c r="B5" s="57">
        <v>338533500</v>
      </c>
    </row>
    <row r="6" spans="1:2" ht="18.5" x14ac:dyDescent="0.45">
      <c r="A6" s="34"/>
    </row>
    <row r="7" spans="1:2" x14ac:dyDescent="0.35">
      <c r="A7" s="35" t="s">
        <v>106</v>
      </c>
    </row>
    <row r="8" spans="1:2" ht="18.5" x14ac:dyDescent="0.45">
      <c r="A8" s="34"/>
      <c r="B8" s="58">
        <v>14155500</v>
      </c>
    </row>
    <row r="9" spans="1:2" ht="18.5" x14ac:dyDescent="0.45">
      <c r="A9" s="34"/>
    </row>
    <row r="10" spans="1:2" ht="15.5" x14ac:dyDescent="0.35">
      <c r="A10" s="38" t="s">
        <v>116</v>
      </c>
    </row>
    <row r="11" spans="1:2" ht="18.5" x14ac:dyDescent="0.45">
      <c r="A11" s="34"/>
    </row>
    <row r="12" spans="1:2" x14ac:dyDescent="0.35">
      <c r="A12" s="35" t="s">
        <v>109</v>
      </c>
    </row>
    <row r="13" spans="1:2" x14ac:dyDescent="0.35">
      <c r="B13" s="18" t="s">
        <v>107</v>
      </c>
    </row>
    <row r="15" spans="1:2" x14ac:dyDescent="0.35">
      <c r="A15" s="35" t="s">
        <v>108</v>
      </c>
    </row>
    <row r="16" spans="1:2" x14ac:dyDescent="0.35">
      <c r="A16" s="35"/>
      <c r="B16" s="18" t="s">
        <v>128</v>
      </c>
    </row>
    <row r="17" spans="1:2" x14ac:dyDescent="0.35">
      <c r="A17" s="35"/>
    </row>
    <row r="18" spans="1:2" x14ac:dyDescent="0.35">
      <c r="A18" s="35" t="s">
        <v>110</v>
      </c>
    </row>
    <row r="19" spans="1:2" ht="17.5" x14ac:dyDescent="0.35">
      <c r="A19" s="31"/>
      <c r="B19" s="18" t="s">
        <v>111</v>
      </c>
    </row>
    <row r="20" spans="1:2" ht="17.5" x14ac:dyDescent="0.35">
      <c r="A20" s="31"/>
      <c r="B20" s="18"/>
    </row>
    <row r="21" spans="1:2" x14ac:dyDescent="0.35">
      <c r="A21" s="36" t="s">
        <v>112</v>
      </c>
      <c r="B21" s="18"/>
    </row>
    <row r="22" spans="1:2" x14ac:dyDescent="0.35">
      <c r="A22" s="32"/>
      <c r="B22" s="18" t="s">
        <v>113</v>
      </c>
    </row>
    <row r="23" spans="1:2" x14ac:dyDescent="0.35">
      <c r="A23" s="32"/>
      <c r="B23" s="18"/>
    </row>
    <row r="24" spans="1:2" x14ac:dyDescent="0.35">
      <c r="A24" s="35" t="s">
        <v>114</v>
      </c>
    </row>
    <row r="25" spans="1:2" x14ac:dyDescent="0.35">
      <c r="A25" s="33"/>
      <c r="B25" s="18" t="s">
        <v>115</v>
      </c>
    </row>
    <row r="26" spans="1:2" x14ac:dyDescent="0.35">
      <c r="A26" s="32"/>
    </row>
    <row r="27" spans="1:2" x14ac:dyDescent="0.35">
      <c r="A27" s="62" t="s">
        <v>120</v>
      </c>
    </row>
    <row r="28" spans="1:2" x14ac:dyDescent="0.35">
      <c r="A28" s="32"/>
      <c r="B28" s="18" t="s">
        <v>129</v>
      </c>
    </row>
    <row r="29" spans="1:2" x14ac:dyDescent="0.35">
      <c r="A29" s="32"/>
    </row>
    <row r="30" spans="1:2" x14ac:dyDescent="0.35">
      <c r="A30" s="62" t="s">
        <v>121</v>
      </c>
    </row>
    <row r="31" spans="1:2" x14ac:dyDescent="0.35">
      <c r="A31" s="32"/>
      <c r="B31" s="18" t="s">
        <v>122</v>
      </c>
    </row>
    <row r="32" spans="1:2" x14ac:dyDescent="0.35">
      <c r="A32" s="32"/>
    </row>
    <row r="33" spans="1:2" x14ac:dyDescent="0.35">
      <c r="A33" s="33" t="s">
        <v>123</v>
      </c>
    </row>
    <row r="34" spans="1:2" x14ac:dyDescent="0.35">
      <c r="A34" s="32"/>
      <c r="B34" t="s">
        <v>125</v>
      </c>
    </row>
    <row r="35" spans="1:2" x14ac:dyDescent="0.35">
      <c r="A35" s="32"/>
    </row>
    <row r="36" spans="1:2" x14ac:dyDescent="0.35">
      <c r="A36" s="33"/>
    </row>
    <row r="37" spans="1:2" x14ac:dyDescent="0.35">
      <c r="A37" s="32"/>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999DF-6FE7-404E-8564-61531FB01750}">
  <dimension ref="A1:U22"/>
  <sheetViews>
    <sheetView showGridLines="0" tabSelected="1" zoomScale="80" zoomScaleNormal="80" workbookViewId="0">
      <selection activeCell="W9" sqref="W9"/>
    </sheetView>
  </sheetViews>
  <sheetFormatPr defaultRowHeight="14.5" x14ac:dyDescent="0.35"/>
  <cols>
    <col min="1" max="1" width="9.81640625" bestFit="1" customWidth="1"/>
  </cols>
  <sheetData>
    <row r="1" spans="1:21" ht="35" customHeight="1" x14ac:dyDescent="0.65">
      <c r="A1" s="45"/>
      <c r="B1" s="45"/>
      <c r="C1" s="45"/>
      <c r="D1" s="45"/>
      <c r="E1" s="63" t="s">
        <v>103</v>
      </c>
      <c r="F1" s="64"/>
      <c r="G1" s="64"/>
      <c r="H1" s="64"/>
      <c r="I1" s="64"/>
      <c r="J1" s="64"/>
      <c r="K1" s="64"/>
      <c r="L1" s="64"/>
      <c r="M1" s="64"/>
      <c r="N1" s="64"/>
      <c r="O1" s="64"/>
      <c r="P1" s="64"/>
      <c r="Q1" s="64"/>
      <c r="R1" s="64"/>
      <c r="S1" s="64"/>
      <c r="T1" s="43"/>
      <c r="U1" s="43"/>
    </row>
    <row r="5" spans="1:21" x14ac:dyDescent="0.35">
      <c r="C5" s="44"/>
    </row>
    <row r="7" spans="1:21" x14ac:dyDescent="0.35">
      <c r="B7" s="18"/>
    </row>
    <row r="11" spans="1:21" x14ac:dyDescent="0.35">
      <c r="B11" s="18"/>
    </row>
    <row r="12" spans="1:21" x14ac:dyDescent="0.35">
      <c r="B12" s="18"/>
    </row>
    <row r="14" spans="1:21" x14ac:dyDescent="0.35">
      <c r="B14" s="39"/>
    </row>
    <row r="15" spans="1:21" x14ac:dyDescent="0.35">
      <c r="B15" s="40"/>
    </row>
    <row r="17" spans="1:2" x14ac:dyDescent="0.35">
      <c r="B17" s="39"/>
    </row>
    <row r="18" spans="1:2" x14ac:dyDescent="0.35">
      <c r="B18" s="40"/>
    </row>
    <row r="22" spans="1:2" x14ac:dyDescent="0.35">
      <c r="A22" s="18"/>
    </row>
  </sheetData>
  <mergeCells count="1">
    <mergeCell ref="E1:S1"/>
  </mergeCells>
  <phoneticPr fontId="3" type="noConversion"/>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69914-14E6-4557-B88A-DC1697065534}">
  <dimension ref="A1:B20"/>
  <sheetViews>
    <sheetView showGridLines="0" workbookViewId="0">
      <selection activeCell="B7" sqref="B7"/>
    </sheetView>
  </sheetViews>
  <sheetFormatPr defaultRowHeight="14.5" x14ac:dyDescent="0.35"/>
  <sheetData>
    <row r="1" spans="1:2" ht="15.5" x14ac:dyDescent="0.35">
      <c r="A1" s="38" t="s">
        <v>98</v>
      </c>
    </row>
    <row r="3" spans="1:2" x14ac:dyDescent="0.35">
      <c r="B3" s="18" t="s">
        <v>126</v>
      </c>
    </row>
    <row r="5" spans="1:2" x14ac:dyDescent="0.35">
      <c r="B5" s="18" t="s">
        <v>127</v>
      </c>
    </row>
    <row r="7" spans="1:2" x14ac:dyDescent="0.35">
      <c r="B7" s="18" t="s">
        <v>99</v>
      </c>
    </row>
    <row r="9" spans="1:2" x14ac:dyDescent="0.35">
      <c r="B9" s="18" t="s">
        <v>100</v>
      </c>
    </row>
    <row r="11" spans="1:2" x14ac:dyDescent="0.35">
      <c r="B11" s="18" t="s">
        <v>101</v>
      </c>
    </row>
    <row r="13" spans="1:2" x14ac:dyDescent="0.35">
      <c r="B13" s="18" t="s">
        <v>102</v>
      </c>
    </row>
    <row r="20" spans="1:1" x14ac:dyDescent="0.35">
      <c r="A20" s="3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Shoe Sales</vt:lpstr>
      <vt:lpstr>Cleaned Data</vt:lpstr>
      <vt:lpstr>Pivot Analysis</vt:lpstr>
      <vt:lpstr>Insights</vt:lpstr>
      <vt:lpstr>Dashboard</vt:lpstr>
      <vt:lpstr>Business 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Machine</dc:creator>
  <cp:lastModifiedBy>DELL</cp:lastModifiedBy>
  <dcterms:created xsi:type="dcterms:W3CDTF">2026-05-12T11:30:47Z</dcterms:created>
  <dcterms:modified xsi:type="dcterms:W3CDTF">2026-05-25T22:40:16Z</dcterms:modified>
</cp:coreProperties>
</file>